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Testing\23127464_HW01_AI_23KTPM3_Kiểm thử phần mềm\"/>
    </mc:Choice>
  </mc:AlternateContent>
  <xr:revisionPtr revIDLastSave="0" documentId="13_ncr:1_{C03C7106-2CE4-4A29-B132-02568B392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Checklists" sheetId="2" r:id="rId2"/>
    <sheet name="Test summary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3" l="1" a="1"/>
  <c r="C26" i="3" l="1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J9" i="3" l="1" a="1"/>
  <c r="E9" i="3" a="1"/>
  <c r="F9" i="3" a="1"/>
  <c r="G9" i="3" a="1"/>
  <c r="H9" i="3" a="1"/>
  <c r="A9" i="3" a="1"/>
  <c r="J10" i="3" l="1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9" i="3"/>
  <c r="J27" i="3" s="1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9" i="3"/>
  <c r="F27" i="3" s="1"/>
  <c r="G10" i="3"/>
  <c r="G11" i="3"/>
  <c r="G12" i="3"/>
  <c r="G9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H10" i="3"/>
  <c r="H11" i="3"/>
  <c r="H12" i="3"/>
  <c r="H13" i="3"/>
  <c r="H14" i="3"/>
  <c r="H15" i="3"/>
  <c r="H9" i="3"/>
  <c r="H16" i="3"/>
  <c r="H17" i="3"/>
  <c r="H18" i="3"/>
  <c r="H19" i="3"/>
  <c r="H20" i="3"/>
  <c r="H21" i="3"/>
  <c r="H22" i="3"/>
  <c r="H23" i="3"/>
  <c r="H24" i="3"/>
  <c r="H25" i="3"/>
  <c r="H26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9" i="3"/>
  <c r="C6" i="3" l="1"/>
  <c r="D9" i="3" a="1"/>
  <c r="E27" i="3"/>
  <c r="G27" i="3"/>
  <c r="H27" i="3"/>
  <c r="D9" i="3" l="1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I9" i="3" l="1" a="1"/>
  <c r="K9" i="3" a="1"/>
  <c r="D27" i="3"/>
  <c r="K27" i="3" s="1"/>
  <c r="C5" i="3" s="1"/>
  <c r="I9" i="3" l="1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9" i="3"/>
  <c r="K13" i="3"/>
  <c r="K12" i="3"/>
  <c r="K11" i="3"/>
  <c r="K10" i="3"/>
  <c r="I27" i="3" l="1"/>
</calcChain>
</file>

<file path=xl/sharedStrings.xml><?xml version="1.0" encoding="utf-8"?>
<sst xmlns="http://schemas.openxmlformats.org/spreadsheetml/2006/main" count="213" uniqueCount="133">
  <si>
    <t>ID</t>
  </si>
  <si>
    <t>Mục tiêu</t>
  </si>
  <si>
    <t>Đầu vào / Điều kiện</t>
  </si>
  <si>
    <t>Các bước thực hiện</t>
  </si>
  <si>
    <t>Kết quả mong đợi</t>
  </si>
  <si>
    <t>Thực tế</t>
  </si>
  <si>
    <t>Kết luận</t>
  </si>
  <si>
    <t>TC-01</t>
  </si>
  <si>
    <t>Kiểm tra chức năng khởi động quạt.</t>
  </si>
  <si>
    <t>Quạt được cắm nguồn điện 220V, đang ở trạng thái Tắt.</t>
  </si>
  <si>
    <t>1. Bấm nút nguồn hoặc nút chọn mức gió thấp nhất (Mức 1).</t>
  </si>
  <si>
    <t>Quạt bắt đầu hoạt động, cánh quạt quay đều, không có tiếng kêu lạ.</t>
  </si>
  <si>
    <t>Quạt hoạt động ổn định</t>
  </si>
  <si>
    <t>PASSED</t>
  </si>
  <si>
    <t>TC-02</t>
  </si>
  <si>
    <t>Kiểm tra chức năng tắt quạt.</t>
  </si>
  <si>
    <t>Quạt đang hoạt động ở mức gió bất kỳ.</t>
  </si>
  <si>
    <t>1. Bấm nút Tắt (Off).</t>
  </si>
  <si>
    <t>Quạt ngắt điện ngay lập tức, cánh quạt giảm tốc rồi dừng hẳn.</t>
  </si>
  <si>
    <t>Quạt dừng hoàn toàn, không còn quay.</t>
  </si>
  <si>
    <t>TC-03</t>
  </si>
  <si>
    <t>Kiểm tra chức năng tăng mức gió (Mức trung bình).</t>
  </si>
  <si>
    <t>Quạt đang chạy ở mức gió 1 (Thấp).</t>
  </si>
  <si>
    <t>1. Bấm nút chọn mức gió 2 (Trung bình).</t>
  </si>
  <si>
    <t>Tốc độ vòng quay của cánh quạt tăng lên rõ rệt, luồng gió mạnh hơn.</t>
  </si>
  <si>
    <t>TC-04</t>
  </si>
  <si>
    <t>Kiểm tra chức năng tăng mức gió (Mức cao nhất).</t>
  </si>
  <si>
    <t>Quạt đang chạy ở mức gió 2 (Trung bình).</t>
  </si>
  <si>
    <t>1. Bấm nút chọn mức gió 3 (Cao nhất).</t>
  </si>
  <si>
    <t>Tốc độ cánh quạt quay ở mức tối đa, động cơ không có mùi khét.</t>
  </si>
  <si>
    <t>TC-05</t>
  </si>
  <si>
    <t>Kiểm tra chuyển đổi mức gió từ Cao về Thấp.</t>
  </si>
  <si>
    <t>Quạt đang chạy ở mức gió 3 (Cao nhất).</t>
  </si>
  <si>
    <t>1. Bấm trực tiếp nút chọn mức gió 1 (Thấp).</t>
  </si>
  <si>
    <t>Quạt nhận tín hiệu ngay, tốc độ vòng quay giảm dần xuống mức thấp.</t>
  </si>
  <si>
    <t>Tốc độ quay giảm rõ rệt không có dấu hiệu chập chờn.</t>
  </si>
  <si>
    <t>TC-06</t>
  </si>
  <si>
    <t>Kiểm tra chức năng xoay ngang (Tuốc năng).</t>
  </si>
  <si>
    <t>Quạt đang chạy, lồng quạt đứng yên.</t>
  </si>
  <si>
    <t>1. Nhấn (hoặc gạt) nút bấm phía sau motor quạt.</t>
  </si>
  <si>
    <t>Bầu quạt bắt đầu tự động xoay chuyển hướng gió sang trái và phải đều đặn.</t>
  </si>
  <si>
    <t>TC-07</t>
  </si>
  <si>
    <t>Kiểm tra chức năng dừng xoay ngang.</t>
  </si>
  <si>
    <t>Quạt đang chạy và đang xoay ngang đều đặn.</t>
  </si>
  <si>
    <t>1. Rút (hoặc gạt ngược lại) nút bấm phía sau motor quạt.</t>
  </si>
  <si>
    <t>Bầu quạt lập tức dừng xoay và giữ nguyên hướng gió tại thời điểm tác động.</t>
  </si>
  <si>
    <t>TC-08</t>
  </si>
  <si>
    <t>Kiểm tra chức năng hẹn giờ tắt (Mức thời gian tối thiểu).</t>
  </si>
  <si>
    <t>Quạt đang chạy.</t>
  </si>
  <si>
    <t>1. Vặn/Bấm núm hẹn giờ đến mức thấp nhất (VD: 30 phút).
2. Dùng đồng hồ bấm giờ để theo dõi.</t>
  </si>
  <si>
    <t>Đúng sau thời gian đã hẹn (khoảng 30 phút), quạt tự động ngắt điện và dừng hoạt động.</t>
  </si>
  <si>
    <t>Sau khoảng thời gian đã hẹn, quạt dừng hoạt động</t>
  </si>
  <si>
    <t>TC-09</t>
  </si>
  <si>
    <t>Kiểm tra chức năng hẹn giờ tắt (Mức thời gian tối đa).</t>
  </si>
  <si>
    <t>1. Vặn/Bấm núm hẹn giờ đến mức tối đa (VD: 2 giờ hoặc 4 giờ).
2. Theo dõi cho đến khi hết giờ.</t>
  </si>
  <si>
    <t>Quạt hoạt động liên tục và tự động ngắt điện đúng vào thời điểm hết giờ đã hẹn.</t>
  </si>
  <si>
    <t>TC-10</t>
  </si>
  <si>
    <t>Kiểm tra hủy chức năng hẹn giờ.</t>
  </si>
  <si>
    <t>Quạt đang chạy và đang được cài đặt hẹn giờ tắt (VD: 60 phút).</t>
  </si>
  <si>
    <t>1. Vặn/Bấm núm hẹn giờ về vị trí 0 (hoặc Off).</t>
  </si>
  <si>
    <t>Quạt tiếp tục chạy bình thường ở chế độ thủ công, không bị tắt đột ngột.</t>
  </si>
  <si>
    <t>Quạt tiếp tục hoạt động bình thường, không bị tắt</t>
  </si>
  <si>
    <t>TC-11</t>
  </si>
  <si>
    <t>Kiểm tra thay đổi độ cao của thân quạt.</t>
  </si>
  <si>
    <t>Quạt được đặt trên mặt phẳng, ngắt điện.</t>
  </si>
  <si>
    <t>1. Vặn lỏng chốt thân quạt.
2. Rút thân quạt lên cao hoặc hạ thấp.
3. Vặn chặt chốt lại.</t>
  </si>
  <si>
    <t>Thân quạt di chuyển trơn tru, chốt giữ chắc chắn không bị tuột độ cao khi quạt chạy.</t>
  </si>
  <si>
    <t>Quạt không thể nâng lên hoặc hạ xuống vì thiết kế thiết bị không có chức năng</t>
  </si>
  <si>
    <t>FAILED</t>
  </si>
  <si>
    <t>TC-12</t>
  </si>
  <si>
    <t>Kiểm tra điều chỉnh góc gập cổ quạt (Lên/Xuống).</t>
  </si>
  <si>
    <t>Quạt đặt trên mặt phẳng, ngắt điện.</t>
  </si>
  <si>
    <t>1. Dùng tay điều chỉnh lồng quạt gập xuống dưới hoặc ngẩng lên trên.</t>
  </si>
  <si>
    <t>Cổ quạt thay đổi góc độ theo từng nấc (hoặc trơn), giữ cố định tốt ở góc mới.</t>
  </si>
  <si>
    <t>Quạt thay đổi được góc độ và hoạt động bình thường ở góc mới</t>
  </si>
  <si>
    <t>TC-13</t>
  </si>
  <si>
    <t>Kiểm tra độ rung lắc khi hoạt động ở công suất tối đa.</t>
  </si>
  <si>
    <t>Quạt đang chạy ở mức gió cao nhất và xoay ngang.</t>
  </si>
  <si>
    <t>1. Quan sát phần chân đế và thân quạt trên nền phẳng.</t>
  </si>
  <si>
    <t>Quạt đứng vững, không bị rung lắc mạnh, không bị tự xê dịch khỏi vị trí ban đầu.</t>
  </si>
  <si>
    <t>Quạt đứng vững, không bị rung lắc mạnh, không bị tự xê dịch khỏi vị trí ban đầu</t>
  </si>
  <si>
    <t>TC-14</t>
  </si>
  <si>
    <t>Kiểm tra khả năng chịu tải liên tục (Endurance Test).</t>
  </si>
  <si>
    <t>Quạt cắm điện 220V.</t>
  </si>
  <si>
    <t>1. Bật quạt ở mức gió 2 kèm xoay ngang.
2. Để quạt chạy liên tục trong 4-6 tiếng.</t>
  </si>
  <si>
    <t>Quạt không bị tắt giữa chừng, sờ vào bầu motor chỉ ấm nhẹ, không quá nhiệt, không khét.</t>
  </si>
  <si>
    <t>Quạt hoạt động liên tục, không cs dấu hiệu quá nhiệt hoặc mùi khét</t>
  </si>
  <si>
    <t>TC-15</t>
  </si>
  <si>
    <t>Kiểm tra hành vi khi mất điện đột ngột.</t>
  </si>
  <si>
    <t>Quạt đang hoạt động bình thường.</t>
  </si>
  <si>
    <t>1. Rút phích cắm điện (mô phỏng mất điện).
2. Đợi 10 giây và cắm phích lại.</t>
  </si>
  <si>
    <t>Quạt dừng hoàn toàn khi rút điện. Khi cắm lại, (tùy thiết kế cơ/điện tử) quạt giữ nguyên trạng thái bật hoặc về trạng thái chờ an toàn.</t>
  </si>
  <si>
    <t>TC-16</t>
  </si>
  <si>
    <t>Kiểm tra vết đứt hoặc hở tại dây điện hoặc phích cắm bị cháy đầu nhận điện sau khoảng thời gian dài sử dụng</t>
  </si>
  <si>
    <t>Quạt đang ở trạng thái tắt</t>
  </si>
  <si>
    <t>1. Kiểm tra các điểm trên dây điện và tìm các vết nứt, đứt hoặc hở. 
2. Kiểm tra phích căm có bị cháy đầu dẫn điện hay không.</t>
  </si>
  <si>
    <t>Dây điện không có vết nứt, đứt hoặc hở. Phích căm không bị cháy đầu dẫn điện, vẫn đảm báo tiếp xúc tốt.</t>
  </si>
  <si>
    <t>TC-17</t>
  </si>
  <si>
    <t>Kiểm tra quạt hoạt động bình thường khi nhấn 2 mức gió cùng lúc.</t>
  </si>
  <si>
    <t>1. Bấm đồng thời nút chọn mức gió 1 (Thấp) và mức gió 2 (Trung bình)</t>
  </si>
  <si>
    <t>Quạt chỉ nhận một tín hiệu mức gió (thường là mức gió cao hơn nếu thiết kế có ưu tiên) và hoạt động ở mức đó, không bị chập chờn</t>
  </si>
  <si>
    <t>Quạt chạy khi nhấn giữ đồng thời 2 mức gió với mức ưu tiên lớn hơn tuy nhiên lại tắt khi nhả nút, không hoạt động ổn định.</t>
  </si>
  <si>
    <t>TC-18</t>
  </si>
  <si>
    <t>Kiểm tra trục giữ cánh quạt bị cứng sau một thời gian dài sử dungj</t>
  </si>
  <si>
    <t>Quạt đã được sử dụng nhiều năm và đang ở trạng thái tắt</t>
  </si>
  <si>
    <t>1. Tháo khung lồng quạt và cánh quạt để tiếp cận trục giữ cánh quạt. 
2. Dùng tay quay nhẹ cánh quạt theo cả hai chiều</t>
  </si>
  <si>
    <t>Trục giữ cánh quạt quay trơn tủ, không có cảm giác bị cứng, không bị kẹt.</t>
  </si>
  <si>
    <t>ID test</t>
  </si>
  <si>
    <t>Nội dung tóm tắt test</t>
  </si>
  <si>
    <t>Trạng thái test</t>
  </si>
  <si>
    <t>Đã test</t>
  </si>
  <si>
    <t>TEST SUMMARY REPORT</t>
  </si>
  <si>
    <t>Project Name</t>
  </si>
  <si>
    <t>Homework 1</t>
  </si>
  <si>
    <t>Reviewer</t>
  </si>
  <si>
    <t>Msc. Hồ Tuấn Thanh , Msc. Trần Thị Bích Hạnh</t>
  </si>
  <si>
    <t>Creator</t>
  </si>
  <si>
    <t>Trần Minh Quang</t>
  </si>
  <si>
    <t>Note</t>
  </si>
  <si>
    <t>Test Coverage:</t>
  </si>
  <si>
    <t>Successful Test Coverage:</t>
  </si>
  <si>
    <t>Date:</t>
  </si>
  <si>
    <t>No</t>
  </si>
  <si>
    <t>Test ID</t>
  </si>
  <si>
    <t>Test Name</t>
  </si>
  <si>
    <t>Tested</t>
  </si>
  <si>
    <t>Passed</t>
  </si>
  <si>
    <t>Failed</t>
  </si>
  <si>
    <t>Blocked</t>
  </si>
  <si>
    <t>Skipped</t>
  </si>
  <si>
    <t>Not Yet Tested</t>
  </si>
  <si>
    <t>Total</t>
  </si>
  <si>
    <t>Tested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</si>
</sst>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14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0"/>
      <color theme="1"/>
      <name val="Arial"/>
      <scheme val="minor"/>
    </font>
    <font>
      <b/>
      <sz val="12"/>
      <color rgb="FF000000"/>
      <name val="Times New Roman"/>
    </font>
    <font>
      <sz val="10"/>
      <color theme="1"/>
      <name val="Arial"/>
    </font>
    <font>
      <b/>
      <sz val="12"/>
      <color theme="1"/>
      <name val="Times New Roman"/>
    </font>
    <font>
      <sz val="10"/>
      <name val="Arial"/>
    </font>
    <font>
      <b/>
      <sz val="12"/>
      <color rgb="FF974806"/>
      <name val="Times New Roman"/>
    </font>
    <font>
      <b/>
      <sz val="12"/>
      <color rgb="FF953734"/>
      <name val="Times New Roman"/>
    </font>
    <font>
      <b/>
      <i/>
      <sz val="12"/>
      <color theme="1"/>
      <name val="Times New Roman"/>
    </font>
    <font>
      <b/>
      <sz val="12"/>
      <color rgb="FF3366FF"/>
      <name val="Times New Roman"/>
    </font>
    <font>
      <i/>
      <sz val="12"/>
      <color theme="1"/>
      <name val="Times New Roman"/>
    </font>
    <font>
      <sz val="12"/>
      <color rgb="FF000000"/>
      <name val="Times New Roman"/>
    </font>
    <font>
      <b/>
      <sz val="12"/>
      <color rgb="FFFF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0" borderId="0" xfId="0" applyFont="1"/>
    <xf numFmtId="0" fontId="4" fillId="0" borderId="0" xfId="0" applyFont="1"/>
    <xf numFmtId="0" fontId="9" fillId="0" borderId="0" xfId="0" applyFont="1" applyAlignment="1">
      <alignment horizontal="right"/>
    </xf>
    <xf numFmtId="10" fontId="10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4" fontId="1" fillId="0" borderId="0" xfId="0" applyNumberFormat="1" applyFont="1"/>
    <xf numFmtId="0" fontId="5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0" fontId="1" fillId="4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0" fontId="1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0" fontId="12" fillId="0" borderId="1" xfId="0" applyNumberFormat="1" applyFont="1" applyBorder="1" applyAlignment="1">
      <alignment horizontal="left" vertical="center"/>
    </xf>
    <xf numFmtId="0" fontId="1" fillId="0" borderId="1" xfId="0" applyFont="1" applyBorder="1"/>
    <xf numFmtId="0" fontId="13" fillId="0" borderId="1" xfId="0" applyFont="1" applyBorder="1"/>
    <xf numFmtId="10" fontId="13" fillId="0" borderId="1" xfId="0" applyNumberFormat="1" applyFont="1" applyBorder="1"/>
    <xf numFmtId="0" fontId="7" fillId="0" borderId="7" xfId="0" applyFont="1" applyBorder="1" applyAlignment="1">
      <alignment horizontal="right"/>
    </xf>
    <xf numFmtId="0" fontId="6" fillId="0" borderId="6" xfId="0" applyFont="1" applyBorder="1"/>
    <xf numFmtId="0" fontId="1" fillId="0" borderId="7" xfId="0" applyFont="1" applyBorder="1" applyAlignment="1">
      <alignment horizontal="center"/>
    </xf>
    <xf numFmtId="0" fontId="6" fillId="0" borderId="7" xfId="0" applyFont="1" applyBorder="1"/>
    <xf numFmtId="0" fontId="8" fillId="0" borderId="5" xfId="0" applyFont="1" applyBorder="1" applyAlignment="1">
      <alignment horizontal="right"/>
    </xf>
    <xf numFmtId="0" fontId="1" fillId="0" borderId="7" xfId="0" applyFont="1" applyBorder="1"/>
    <xf numFmtId="0" fontId="5" fillId="0" borderId="2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7" fillId="0" borderId="5" xfId="0" applyFont="1" applyBorder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185D6"/>
          <bgColor rgb="FF4185D6"/>
        </patternFill>
      </fill>
    </dxf>
  </dxfs>
  <tableStyles count="1">
    <tableStyle name="Checklist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19">
  <tableColumns count="3">
    <tableColumn id="1" xr3:uid="{00000000-0010-0000-0000-000001000000}" name="ID test"/>
    <tableColumn id="2" xr3:uid="{00000000-0010-0000-0000-000002000000}" name="Nội dung tóm tắt test"/>
    <tableColumn id="3" xr3:uid="{00000000-0010-0000-0000-000003000000}" name="Trạng thái test"/>
  </tableColumns>
  <tableStyleInfo name="Checklis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F1" workbookViewId="0"/>
  </sheetViews>
  <sheetFormatPr defaultColWidth="12.6640625" defaultRowHeight="15" customHeight="1" x14ac:dyDescent="0.25"/>
  <cols>
    <col min="1" max="1" width="12.6640625" customWidth="1"/>
    <col min="2" max="2" width="98.44140625" bestFit="1" customWidth="1"/>
    <col min="3" max="3" width="57.5546875" bestFit="1" customWidth="1"/>
    <col min="4" max="4" width="113" bestFit="1" customWidth="1"/>
    <col min="5" max="5" width="118.6640625" bestFit="1" customWidth="1"/>
    <col min="6" max="6" width="110" bestFit="1" customWidth="1"/>
    <col min="7" max="7" width="13.77734375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 spans="1:7" ht="22.5" customHeigh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13</v>
      </c>
    </row>
    <row r="4" spans="1:7" ht="22.5" customHeight="1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12</v>
      </c>
      <c r="G4" s="2" t="s">
        <v>13</v>
      </c>
    </row>
    <row r="5" spans="1:7" ht="22.5" customHeight="1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12</v>
      </c>
      <c r="G5" s="2" t="s">
        <v>13</v>
      </c>
    </row>
    <row r="6" spans="1:7" ht="22.5" customHeight="1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2" t="s">
        <v>13</v>
      </c>
    </row>
    <row r="7" spans="1:7" ht="22.5" customHeight="1" x14ac:dyDescent="0.25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12</v>
      </c>
      <c r="G7" s="2" t="s">
        <v>13</v>
      </c>
    </row>
    <row r="8" spans="1:7" ht="22.5" customHeight="1" x14ac:dyDescent="0.25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12</v>
      </c>
      <c r="G8" s="2" t="s">
        <v>13</v>
      </c>
    </row>
    <row r="9" spans="1:7" ht="15.6" x14ac:dyDescent="0.25">
      <c r="A9" s="1" t="s">
        <v>46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2" t="s">
        <v>13</v>
      </c>
    </row>
    <row r="10" spans="1:7" ht="15.6" x14ac:dyDescent="0.25">
      <c r="A10" s="1" t="s">
        <v>52</v>
      </c>
      <c r="B10" s="1" t="s">
        <v>53</v>
      </c>
      <c r="C10" s="1" t="s">
        <v>48</v>
      </c>
      <c r="D10" s="1" t="s">
        <v>54</v>
      </c>
      <c r="E10" s="1" t="s">
        <v>55</v>
      </c>
      <c r="F10" s="1" t="s">
        <v>51</v>
      </c>
      <c r="G10" s="2" t="s">
        <v>13</v>
      </c>
    </row>
    <row r="11" spans="1:7" ht="22.5" customHeight="1" x14ac:dyDescent="0.25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61</v>
      </c>
      <c r="G11" s="2" t="s">
        <v>13</v>
      </c>
    </row>
    <row r="12" spans="1:7" ht="15.6" x14ac:dyDescent="0.25">
      <c r="A12" s="1" t="s">
        <v>62</v>
      </c>
      <c r="B12" s="1" t="s">
        <v>63</v>
      </c>
      <c r="C12" s="1" t="s">
        <v>64</v>
      </c>
      <c r="D12" s="1" t="s">
        <v>65</v>
      </c>
      <c r="E12" s="1" t="s">
        <v>66</v>
      </c>
      <c r="F12" s="1" t="s">
        <v>67</v>
      </c>
      <c r="G12" s="2" t="s">
        <v>68</v>
      </c>
    </row>
    <row r="13" spans="1:7" ht="22.5" customHeight="1" x14ac:dyDescent="0.25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  <c r="G13" s="2" t="s">
        <v>13</v>
      </c>
    </row>
    <row r="14" spans="1:7" ht="22.5" customHeight="1" x14ac:dyDescent="0.25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80</v>
      </c>
      <c r="G14" s="2" t="s">
        <v>13</v>
      </c>
    </row>
    <row r="15" spans="1:7" ht="15.6" x14ac:dyDescent="0.25">
      <c r="A15" s="1" t="s">
        <v>81</v>
      </c>
      <c r="B15" s="1" t="s">
        <v>82</v>
      </c>
      <c r="C15" s="1" t="s">
        <v>83</v>
      </c>
      <c r="D15" s="1" t="s">
        <v>84</v>
      </c>
      <c r="E15" s="1" t="s">
        <v>85</v>
      </c>
      <c r="F15" s="1" t="s">
        <v>86</v>
      </c>
      <c r="G15" s="2" t="s">
        <v>13</v>
      </c>
    </row>
    <row r="16" spans="1:7" ht="15.6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19</v>
      </c>
      <c r="G16" s="2" t="s">
        <v>13</v>
      </c>
    </row>
    <row r="17" spans="1:7" ht="15.6" x14ac:dyDescent="0.25">
      <c r="A17" s="1" t="s">
        <v>92</v>
      </c>
      <c r="B17" s="1" t="s">
        <v>93</v>
      </c>
      <c r="C17" s="1" t="s">
        <v>94</v>
      </c>
      <c r="D17" s="1" t="s">
        <v>95</v>
      </c>
      <c r="E17" s="1" t="s">
        <v>96</v>
      </c>
      <c r="F17" s="1" t="s">
        <v>96</v>
      </c>
      <c r="G17" s="2" t="s">
        <v>13</v>
      </c>
    </row>
    <row r="18" spans="1:7" ht="22.5" customHeight="1" x14ac:dyDescent="0.25">
      <c r="A18" s="1" t="s">
        <v>97</v>
      </c>
      <c r="B18" s="1" t="s">
        <v>98</v>
      </c>
      <c r="C18" s="1" t="s">
        <v>94</v>
      </c>
      <c r="D18" s="1" t="s">
        <v>99</v>
      </c>
      <c r="E18" s="1" t="s">
        <v>100</v>
      </c>
      <c r="F18" s="1" t="s">
        <v>101</v>
      </c>
      <c r="G18" s="2" t="s">
        <v>68</v>
      </c>
    </row>
    <row r="19" spans="1:7" ht="15.6" x14ac:dyDescent="0.25">
      <c r="A19" s="1" t="s">
        <v>102</v>
      </c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106</v>
      </c>
      <c r="G19" s="2" t="s">
        <v>13</v>
      </c>
    </row>
    <row r="20" spans="1:7" ht="22.5" customHeight="1" x14ac:dyDescent="0.25">
      <c r="A20" s="3"/>
      <c r="B20" s="3"/>
      <c r="C20" s="3"/>
      <c r="D20" s="3"/>
      <c r="E20" s="3"/>
      <c r="F20" s="3"/>
      <c r="G20" s="3"/>
    </row>
    <row r="21" spans="1:7" ht="22.5" customHeight="1" x14ac:dyDescent="0.25"/>
    <row r="22" spans="1:7" ht="22.5" customHeight="1" x14ac:dyDescent="0.25"/>
    <row r="23" spans="1:7" ht="22.5" customHeight="1" x14ac:dyDescent="0.25"/>
    <row r="24" spans="1:7" ht="22.5" customHeight="1" x14ac:dyDescent="0.25"/>
    <row r="25" spans="1:7" ht="22.5" customHeight="1" x14ac:dyDescent="0.25"/>
    <row r="26" spans="1:7" ht="22.5" customHeight="1" x14ac:dyDescent="0.25"/>
    <row r="27" spans="1:7" ht="22.5" customHeight="1" x14ac:dyDescent="0.25"/>
    <row r="28" spans="1:7" ht="22.5" customHeight="1" x14ac:dyDescent="0.25"/>
    <row r="29" spans="1:7" ht="22.5" customHeight="1" x14ac:dyDescent="0.25"/>
    <row r="30" spans="1:7" ht="22.5" customHeight="1" x14ac:dyDescent="0.25"/>
    <row r="31" spans="1:7" ht="22.5" customHeight="1" x14ac:dyDescent="0.25"/>
    <row r="32" spans="1:7" ht="22.5" customHeight="1" x14ac:dyDescent="0.25"/>
    <row r="33" ht="22.5" customHeight="1" x14ac:dyDescent="0.25"/>
    <row r="34" ht="22.5" customHeight="1" x14ac:dyDescent="0.25"/>
    <row r="35" ht="22.5" customHeight="1" x14ac:dyDescent="0.25"/>
    <row r="36" ht="22.5" customHeight="1" x14ac:dyDescent="0.25"/>
    <row r="37" ht="22.5" customHeight="1" x14ac:dyDescent="0.25"/>
    <row r="38" ht="22.5" customHeight="1" x14ac:dyDescent="0.25"/>
    <row r="39" ht="22.5" customHeight="1" x14ac:dyDescent="0.25"/>
    <row r="40" ht="22.5" customHeight="1" x14ac:dyDescent="0.25"/>
    <row r="41" ht="22.5" customHeight="1" x14ac:dyDescent="0.25"/>
    <row r="42" ht="22.5" customHeight="1" x14ac:dyDescent="0.25"/>
    <row r="43" ht="22.5" customHeight="1" x14ac:dyDescent="0.25"/>
    <row r="44" ht="22.5" customHeight="1" x14ac:dyDescent="0.25"/>
    <row r="45" ht="22.5" customHeight="1" x14ac:dyDescent="0.25"/>
    <row r="46" ht="22.5" customHeight="1" x14ac:dyDescent="0.25"/>
    <row r="47" ht="22.5" customHeight="1" x14ac:dyDescent="0.25"/>
    <row r="48" ht="22.5" customHeight="1" x14ac:dyDescent="0.25"/>
    <row r="49" ht="22.5" customHeight="1" x14ac:dyDescent="0.25"/>
    <row r="50" ht="22.5" customHeight="1" x14ac:dyDescent="0.25"/>
    <row r="51" ht="22.5" customHeight="1" x14ac:dyDescent="0.25"/>
    <row r="52" ht="22.5" customHeight="1" x14ac:dyDescent="0.25"/>
    <row r="53" ht="22.5" customHeight="1" x14ac:dyDescent="0.25"/>
    <row r="54" ht="22.5" customHeight="1" x14ac:dyDescent="0.25"/>
    <row r="55" ht="22.5" customHeight="1" x14ac:dyDescent="0.25"/>
    <row r="56" ht="22.5" customHeight="1" x14ac:dyDescent="0.25"/>
    <row r="57" ht="22.5" customHeight="1" x14ac:dyDescent="0.25"/>
    <row r="58" ht="22.5" customHeight="1" x14ac:dyDescent="0.25"/>
    <row r="59" ht="22.5" customHeight="1" x14ac:dyDescent="0.25"/>
    <row r="60" ht="22.5" customHeight="1" x14ac:dyDescent="0.25"/>
    <row r="61" ht="22.5" customHeight="1" x14ac:dyDescent="0.25"/>
    <row r="62" ht="22.5" customHeight="1" x14ac:dyDescent="0.25"/>
    <row r="63" ht="22.5" customHeight="1" x14ac:dyDescent="0.25"/>
    <row r="64" ht="22.5" customHeight="1" x14ac:dyDescent="0.25"/>
    <row r="65" ht="22.5" customHeight="1" x14ac:dyDescent="0.25"/>
    <row r="66" ht="22.5" customHeight="1" x14ac:dyDescent="0.25"/>
    <row r="67" ht="22.5" customHeight="1" x14ac:dyDescent="0.25"/>
    <row r="68" ht="22.5" customHeight="1" x14ac:dyDescent="0.25"/>
    <row r="69" ht="22.5" customHeight="1" x14ac:dyDescent="0.25"/>
    <row r="70" ht="22.5" customHeight="1" x14ac:dyDescent="0.25"/>
    <row r="71" ht="22.5" customHeight="1" x14ac:dyDescent="0.25"/>
    <row r="72" ht="22.5" customHeight="1" x14ac:dyDescent="0.25"/>
    <row r="73" ht="22.5" customHeight="1" x14ac:dyDescent="0.25"/>
    <row r="74" ht="22.5" customHeight="1" x14ac:dyDescent="0.25"/>
    <row r="75" ht="22.5" customHeight="1" x14ac:dyDescent="0.25"/>
    <row r="76" ht="22.5" customHeight="1" x14ac:dyDescent="0.25"/>
    <row r="77" ht="22.5" customHeight="1" x14ac:dyDescent="0.25"/>
    <row r="78" ht="22.5" customHeight="1" x14ac:dyDescent="0.25"/>
    <row r="79" ht="22.5" customHeight="1" x14ac:dyDescent="0.25"/>
    <row r="80" ht="22.5" customHeight="1" x14ac:dyDescent="0.25"/>
    <row r="81" ht="22.5" customHeight="1" x14ac:dyDescent="0.25"/>
    <row r="82" ht="22.5" customHeight="1" x14ac:dyDescent="0.25"/>
    <row r="83" ht="22.5" customHeight="1" x14ac:dyDescent="0.25"/>
    <row r="84" ht="22.5" customHeight="1" x14ac:dyDescent="0.25"/>
    <row r="85" ht="22.5" customHeight="1" x14ac:dyDescent="0.25"/>
    <row r="86" ht="22.5" customHeight="1" x14ac:dyDescent="0.25"/>
    <row r="87" ht="22.5" customHeight="1" x14ac:dyDescent="0.25"/>
    <row r="88" ht="22.5" customHeight="1" x14ac:dyDescent="0.25"/>
    <row r="89" ht="22.5" customHeight="1" x14ac:dyDescent="0.25"/>
    <row r="90" ht="22.5" customHeight="1" x14ac:dyDescent="0.25"/>
    <row r="91" ht="22.5" customHeight="1" x14ac:dyDescent="0.25"/>
    <row r="92" ht="22.5" customHeight="1" x14ac:dyDescent="0.25"/>
    <row r="93" ht="22.5" customHeight="1" x14ac:dyDescent="0.25"/>
    <row r="94" ht="22.5" customHeight="1" x14ac:dyDescent="0.25"/>
    <row r="95" ht="22.5" customHeight="1" x14ac:dyDescent="0.25"/>
    <row r="96" ht="22.5" customHeight="1" x14ac:dyDescent="0.25"/>
    <row r="97" ht="22.5" customHeight="1" x14ac:dyDescent="0.25"/>
    <row r="98" ht="22.5" customHeight="1" x14ac:dyDescent="0.25"/>
    <row r="99" ht="22.5" customHeight="1" x14ac:dyDescent="0.25"/>
    <row r="100" ht="22.5" customHeight="1" x14ac:dyDescent="0.25"/>
    <row r="101" ht="22.5" customHeight="1" x14ac:dyDescent="0.25"/>
    <row r="102" ht="22.5" customHeight="1" x14ac:dyDescent="0.25"/>
    <row r="103" ht="22.5" customHeight="1" x14ac:dyDescent="0.25"/>
    <row r="104" ht="22.5" customHeight="1" x14ac:dyDescent="0.25"/>
    <row r="105" ht="22.5" customHeight="1" x14ac:dyDescent="0.25"/>
    <row r="106" ht="22.5" customHeight="1" x14ac:dyDescent="0.25"/>
    <row r="107" ht="22.5" customHeight="1" x14ac:dyDescent="0.25"/>
    <row r="108" ht="22.5" customHeight="1" x14ac:dyDescent="0.25"/>
    <row r="109" ht="22.5" customHeight="1" x14ac:dyDescent="0.25"/>
    <row r="110" ht="22.5" customHeight="1" x14ac:dyDescent="0.25"/>
    <row r="111" ht="22.5" customHeight="1" x14ac:dyDescent="0.25"/>
    <row r="112" ht="22.5" customHeight="1" x14ac:dyDescent="0.25"/>
    <row r="113" ht="22.5" customHeight="1" x14ac:dyDescent="0.25"/>
    <row r="114" ht="22.5" customHeight="1" x14ac:dyDescent="0.25"/>
    <row r="115" ht="22.5" customHeight="1" x14ac:dyDescent="0.25"/>
    <row r="116" ht="22.5" customHeight="1" x14ac:dyDescent="0.25"/>
    <row r="117" ht="22.5" customHeight="1" x14ac:dyDescent="0.25"/>
    <row r="118" ht="22.5" customHeight="1" x14ac:dyDescent="0.25"/>
    <row r="119" ht="22.5" customHeight="1" x14ac:dyDescent="0.25"/>
    <row r="120" ht="22.5" customHeight="1" x14ac:dyDescent="0.25"/>
    <row r="121" ht="22.5" customHeight="1" x14ac:dyDescent="0.25"/>
    <row r="122" ht="22.5" customHeight="1" x14ac:dyDescent="0.25"/>
    <row r="123" ht="22.5" customHeight="1" x14ac:dyDescent="0.25"/>
    <row r="124" ht="22.5" customHeight="1" x14ac:dyDescent="0.25"/>
    <row r="125" ht="22.5" customHeight="1" x14ac:dyDescent="0.25"/>
    <row r="126" ht="22.5" customHeight="1" x14ac:dyDescent="0.25"/>
    <row r="127" ht="22.5" customHeight="1" x14ac:dyDescent="0.25"/>
    <row r="128" ht="22.5" customHeight="1" x14ac:dyDescent="0.25"/>
    <row r="129" ht="22.5" customHeight="1" x14ac:dyDescent="0.25"/>
    <row r="130" ht="22.5" customHeight="1" x14ac:dyDescent="0.25"/>
    <row r="131" ht="22.5" customHeight="1" x14ac:dyDescent="0.25"/>
    <row r="132" ht="22.5" customHeight="1" x14ac:dyDescent="0.25"/>
    <row r="133" ht="22.5" customHeight="1" x14ac:dyDescent="0.25"/>
    <row r="134" ht="22.5" customHeight="1" x14ac:dyDescent="0.25"/>
    <row r="135" ht="22.5" customHeight="1" x14ac:dyDescent="0.25"/>
    <row r="136" ht="22.5" customHeight="1" x14ac:dyDescent="0.25"/>
    <row r="137" ht="22.5" customHeight="1" x14ac:dyDescent="0.25"/>
    <row r="138" ht="22.5" customHeight="1" x14ac:dyDescent="0.25"/>
    <row r="139" ht="22.5" customHeight="1" x14ac:dyDescent="0.25"/>
    <row r="140" ht="22.5" customHeight="1" x14ac:dyDescent="0.25"/>
    <row r="141" ht="22.5" customHeight="1" x14ac:dyDescent="0.25"/>
    <row r="142" ht="22.5" customHeight="1" x14ac:dyDescent="0.25"/>
    <row r="143" ht="22.5" customHeight="1" x14ac:dyDescent="0.25"/>
    <row r="144" ht="22.5" customHeight="1" x14ac:dyDescent="0.25"/>
    <row r="145" ht="22.5" customHeight="1" x14ac:dyDescent="0.25"/>
    <row r="146" ht="22.5" customHeight="1" x14ac:dyDescent="0.25"/>
    <row r="147" ht="22.5" customHeight="1" x14ac:dyDescent="0.25"/>
    <row r="148" ht="22.5" customHeight="1" x14ac:dyDescent="0.25"/>
    <row r="149" ht="22.5" customHeight="1" x14ac:dyDescent="0.25"/>
    <row r="150" ht="22.5" customHeight="1" x14ac:dyDescent="0.25"/>
    <row r="151" ht="22.5" customHeight="1" x14ac:dyDescent="0.25"/>
    <row r="152" ht="22.5" customHeight="1" x14ac:dyDescent="0.25"/>
    <row r="153" ht="22.5" customHeight="1" x14ac:dyDescent="0.25"/>
    <row r="154" ht="22.5" customHeight="1" x14ac:dyDescent="0.25"/>
    <row r="155" ht="22.5" customHeight="1" x14ac:dyDescent="0.25"/>
    <row r="156" ht="22.5" customHeight="1" x14ac:dyDescent="0.25"/>
    <row r="157" ht="22.5" customHeight="1" x14ac:dyDescent="0.25"/>
    <row r="158" ht="22.5" customHeight="1" x14ac:dyDescent="0.25"/>
    <row r="159" ht="22.5" customHeight="1" x14ac:dyDescent="0.25"/>
    <row r="160" ht="22.5" customHeight="1" x14ac:dyDescent="0.25"/>
    <row r="161" ht="22.5" customHeight="1" x14ac:dyDescent="0.25"/>
    <row r="162" ht="22.5" customHeight="1" x14ac:dyDescent="0.25"/>
    <row r="163" ht="22.5" customHeight="1" x14ac:dyDescent="0.25"/>
    <row r="164" ht="22.5" customHeight="1" x14ac:dyDescent="0.25"/>
    <row r="165" ht="22.5" customHeight="1" x14ac:dyDescent="0.25"/>
    <row r="166" ht="22.5" customHeight="1" x14ac:dyDescent="0.25"/>
    <row r="167" ht="22.5" customHeight="1" x14ac:dyDescent="0.25"/>
    <row r="168" ht="22.5" customHeight="1" x14ac:dyDescent="0.25"/>
    <row r="169" ht="22.5" customHeight="1" x14ac:dyDescent="0.25"/>
    <row r="170" ht="22.5" customHeight="1" x14ac:dyDescent="0.25"/>
    <row r="171" ht="22.5" customHeight="1" x14ac:dyDescent="0.25"/>
    <row r="172" ht="22.5" customHeight="1" x14ac:dyDescent="0.25"/>
    <row r="173" ht="22.5" customHeight="1" x14ac:dyDescent="0.25"/>
    <row r="174" ht="22.5" customHeight="1" x14ac:dyDescent="0.25"/>
    <row r="175" ht="22.5" customHeight="1" x14ac:dyDescent="0.25"/>
    <row r="176" ht="22.5" customHeight="1" x14ac:dyDescent="0.25"/>
    <row r="177" ht="22.5" customHeight="1" x14ac:dyDescent="0.25"/>
    <row r="178" ht="22.5" customHeight="1" x14ac:dyDescent="0.25"/>
    <row r="179" ht="22.5" customHeight="1" x14ac:dyDescent="0.25"/>
    <row r="180" ht="22.5" customHeight="1" x14ac:dyDescent="0.25"/>
    <row r="181" ht="22.5" customHeight="1" x14ac:dyDescent="0.25"/>
    <row r="182" ht="22.5" customHeight="1" x14ac:dyDescent="0.25"/>
    <row r="183" ht="22.5" customHeight="1" x14ac:dyDescent="0.25"/>
    <row r="184" ht="22.5" customHeight="1" x14ac:dyDescent="0.25"/>
    <row r="185" ht="22.5" customHeight="1" x14ac:dyDescent="0.25"/>
    <row r="186" ht="22.5" customHeight="1" x14ac:dyDescent="0.25"/>
    <row r="187" ht="22.5" customHeight="1" x14ac:dyDescent="0.25"/>
    <row r="188" ht="22.5" customHeight="1" x14ac:dyDescent="0.25"/>
    <row r="189" ht="22.5" customHeight="1" x14ac:dyDescent="0.25"/>
    <row r="190" ht="22.5" customHeight="1" x14ac:dyDescent="0.25"/>
    <row r="191" ht="22.5" customHeight="1" x14ac:dyDescent="0.25"/>
    <row r="192" ht="22.5" customHeight="1" x14ac:dyDescent="0.25"/>
    <row r="193" ht="22.5" customHeight="1" x14ac:dyDescent="0.25"/>
    <row r="194" ht="22.5" customHeight="1" x14ac:dyDescent="0.25"/>
    <row r="195" ht="22.5" customHeight="1" x14ac:dyDescent="0.25"/>
    <row r="196" ht="22.5" customHeight="1" x14ac:dyDescent="0.25"/>
    <row r="197" ht="22.5" customHeight="1" x14ac:dyDescent="0.25"/>
    <row r="198" ht="22.5" customHeight="1" x14ac:dyDescent="0.25"/>
    <row r="199" ht="22.5" customHeight="1" x14ac:dyDescent="0.25"/>
    <row r="200" ht="22.5" customHeight="1" x14ac:dyDescent="0.25"/>
    <row r="201" ht="22.5" customHeight="1" x14ac:dyDescent="0.25"/>
    <row r="202" ht="22.5" customHeight="1" x14ac:dyDescent="0.25"/>
    <row r="203" ht="22.5" customHeight="1" x14ac:dyDescent="0.25"/>
    <row r="204" ht="22.5" customHeight="1" x14ac:dyDescent="0.25"/>
    <row r="205" ht="22.5" customHeight="1" x14ac:dyDescent="0.25"/>
    <row r="206" ht="22.5" customHeight="1" x14ac:dyDescent="0.25"/>
    <row r="207" ht="22.5" customHeight="1" x14ac:dyDescent="0.25"/>
    <row r="208" ht="22.5" customHeight="1" x14ac:dyDescent="0.25"/>
    <row r="209" ht="22.5" customHeight="1" x14ac:dyDescent="0.25"/>
    <row r="210" ht="22.5" customHeight="1" x14ac:dyDescent="0.25"/>
    <row r="211" ht="22.5" customHeight="1" x14ac:dyDescent="0.25"/>
    <row r="212" ht="22.5" customHeight="1" x14ac:dyDescent="0.25"/>
    <row r="213" ht="22.5" customHeight="1" x14ac:dyDescent="0.25"/>
    <row r="214" ht="22.5" customHeight="1" x14ac:dyDescent="0.25"/>
    <row r="215" ht="22.5" customHeight="1" x14ac:dyDescent="0.25"/>
    <row r="216" ht="22.5" customHeight="1" x14ac:dyDescent="0.25"/>
    <row r="217" ht="22.5" customHeight="1" x14ac:dyDescent="0.25"/>
    <row r="218" ht="22.5" customHeight="1" x14ac:dyDescent="0.25"/>
    <row r="219" ht="22.5" customHeight="1" x14ac:dyDescent="0.25"/>
    <row r="220" ht="22.5" customHeight="1" x14ac:dyDescent="0.25"/>
    <row r="221" ht="22.5" customHeight="1" x14ac:dyDescent="0.25"/>
    <row r="222" ht="22.5" customHeight="1" x14ac:dyDescent="0.25"/>
    <row r="223" ht="22.5" customHeight="1" x14ac:dyDescent="0.25"/>
    <row r="224" ht="22.5" customHeight="1" x14ac:dyDescent="0.25"/>
    <row r="225" ht="22.5" customHeight="1" x14ac:dyDescent="0.25"/>
    <row r="226" ht="22.5" customHeight="1" x14ac:dyDescent="0.25"/>
    <row r="227" ht="22.5" customHeight="1" x14ac:dyDescent="0.25"/>
    <row r="228" ht="22.5" customHeight="1" x14ac:dyDescent="0.25"/>
    <row r="229" ht="22.5" customHeight="1" x14ac:dyDescent="0.25"/>
    <row r="230" ht="22.5" customHeight="1" x14ac:dyDescent="0.25"/>
    <row r="231" ht="22.5" customHeight="1" x14ac:dyDescent="0.25"/>
    <row r="232" ht="22.5" customHeight="1" x14ac:dyDescent="0.25"/>
    <row r="233" ht="22.5" customHeight="1" x14ac:dyDescent="0.25"/>
    <row r="234" ht="22.5" customHeight="1" x14ac:dyDescent="0.25"/>
    <row r="235" ht="22.5" customHeight="1" x14ac:dyDescent="0.25"/>
    <row r="236" ht="22.5" customHeight="1" x14ac:dyDescent="0.25"/>
    <row r="237" ht="22.5" customHeight="1" x14ac:dyDescent="0.25"/>
    <row r="238" ht="22.5" customHeight="1" x14ac:dyDescent="0.25"/>
    <row r="239" ht="22.5" customHeight="1" x14ac:dyDescent="0.25"/>
    <row r="240" ht="22.5" customHeight="1" x14ac:dyDescent="0.25"/>
    <row r="241" ht="22.5" customHeight="1" x14ac:dyDescent="0.25"/>
    <row r="242" ht="22.5" customHeight="1" x14ac:dyDescent="0.25"/>
    <row r="243" ht="22.5" customHeight="1" x14ac:dyDescent="0.25"/>
    <row r="244" ht="22.5" customHeight="1" x14ac:dyDescent="0.25"/>
    <row r="245" ht="22.5" customHeight="1" x14ac:dyDescent="0.25"/>
    <row r="246" ht="22.5" customHeight="1" x14ac:dyDescent="0.25"/>
    <row r="247" ht="22.5" customHeight="1" x14ac:dyDescent="0.25"/>
    <row r="248" ht="22.5" customHeight="1" x14ac:dyDescent="0.25"/>
    <row r="249" ht="22.5" customHeight="1" x14ac:dyDescent="0.25"/>
    <row r="250" ht="22.5" customHeight="1" x14ac:dyDescent="0.25"/>
    <row r="251" ht="22.5" customHeight="1" x14ac:dyDescent="0.25"/>
    <row r="252" ht="22.5" customHeight="1" x14ac:dyDescent="0.25"/>
    <row r="253" ht="22.5" customHeight="1" x14ac:dyDescent="0.25"/>
    <row r="254" ht="22.5" customHeight="1" x14ac:dyDescent="0.25"/>
    <row r="255" ht="22.5" customHeight="1" x14ac:dyDescent="0.25"/>
    <row r="256" ht="22.5" customHeight="1" x14ac:dyDescent="0.25"/>
    <row r="257" ht="22.5" customHeight="1" x14ac:dyDescent="0.25"/>
    <row r="258" ht="22.5" customHeight="1" x14ac:dyDescent="0.25"/>
    <row r="259" ht="22.5" customHeight="1" x14ac:dyDescent="0.25"/>
    <row r="260" ht="22.5" customHeight="1" x14ac:dyDescent="0.25"/>
    <row r="261" ht="22.5" customHeight="1" x14ac:dyDescent="0.25"/>
    <row r="262" ht="22.5" customHeight="1" x14ac:dyDescent="0.25"/>
    <row r="263" ht="22.5" customHeight="1" x14ac:dyDescent="0.25"/>
    <row r="264" ht="22.5" customHeight="1" x14ac:dyDescent="0.25"/>
    <row r="265" ht="22.5" customHeight="1" x14ac:dyDescent="0.25"/>
    <row r="266" ht="22.5" customHeight="1" x14ac:dyDescent="0.25"/>
    <row r="267" ht="22.5" customHeight="1" x14ac:dyDescent="0.25"/>
    <row r="268" ht="22.5" customHeight="1" x14ac:dyDescent="0.25"/>
    <row r="269" ht="22.5" customHeight="1" x14ac:dyDescent="0.25"/>
    <row r="270" ht="22.5" customHeight="1" x14ac:dyDescent="0.25"/>
    <row r="271" ht="22.5" customHeight="1" x14ac:dyDescent="0.25"/>
    <row r="272" ht="22.5" customHeight="1" x14ac:dyDescent="0.25"/>
    <row r="273" ht="22.5" customHeight="1" x14ac:dyDescent="0.25"/>
    <row r="274" ht="22.5" customHeight="1" x14ac:dyDescent="0.25"/>
    <row r="275" ht="22.5" customHeight="1" x14ac:dyDescent="0.25"/>
    <row r="276" ht="22.5" customHeight="1" x14ac:dyDescent="0.25"/>
    <row r="277" ht="22.5" customHeight="1" x14ac:dyDescent="0.25"/>
    <row r="278" ht="22.5" customHeight="1" x14ac:dyDescent="0.25"/>
    <row r="279" ht="22.5" customHeight="1" x14ac:dyDescent="0.25"/>
    <row r="280" ht="22.5" customHeight="1" x14ac:dyDescent="0.25"/>
    <row r="281" ht="22.5" customHeight="1" x14ac:dyDescent="0.25"/>
    <row r="282" ht="22.5" customHeight="1" x14ac:dyDescent="0.25"/>
    <row r="283" ht="22.5" customHeight="1" x14ac:dyDescent="0.25"/>
    <row r="284" ht="22.5" customHeight="1" x14ac:dyDescent="0.25"/>
    <row r="285" ht="22.5" customHeight="1" x14ac:dyDescent="0.25"/>
    <row r="286" ht="22.5" customHeight="1" x14ac:dyDescent="0.25"/>
    <row r="287" ht="22.5" customHeight="1" x14ac:dyDescent="0.25"/>
    <row r="288" ht="22.5" customHeight="1" x14ac:dyDescent="0.25"/>
    <row r="289" ht="22.5" customHeight="1" x14ac:dyDescent="0.25"/>
    <row r="290" ht="22.5" customHeight="1" x14ac:dyDescent="0.25"/>
    <row r="291" ht="22.5" customHeight="1" x14ac:dyDescent="0.25"/>
    <row r="292" ht="22.5" customHeight="1" x14ac:dyDescent="0.25"/>
    <row r="293" ht="22.5" customHeight="1" x14ac:dyDescent="0.25"/>
    <row r="294" ht="22.5" customHeight="1" x14ac:dyDescent="0.25"/>
    <row r="295" ht="22.5" customHeight="1" x14ac:dyDescent="0.25"/>
    <row r="296" ht="22.5" customHeight="1" x14ac:dyDescent="0.25"/>
    <row r="297" ht="22.5" customHeight="1" x14ac:dyDescent="0.25"/>
    <row r="298" ht="22.5" customHeight="1" x14ac:dyDescent="0.25"/>
    <row r="299" ht="22.5" customHeight="1" x14ac:dyDescent="0.25"/>
    <row r="300" ht="22.5" customHeight="1" x14ac:dyDescent="0.25"/>
    <row r="301" ht="22.5" customHeight="1" x14ac:dyDescent="0.25"/>
    <row r="302" ht="22.5" customHeight="1" x14ac:dyDescent="0.25"/>
    <row r="303" ht="22.5" customHeight="1" x14ac:dyDescent="0.25"/>
    <row r="304" ht="22.5" customHeight="1" x14ac:dyDescent="0.25"/>
    <row r="305" ht="22.5" customHeight="1" x14ac:dyDescent="0.25"/>
    <row r="306" ht="22.5" customHeight="1" x14ac:dyDescent="0.25"/>
    <row r="307" ht="22.5" customHeight="1" x14ac:dyDescent="0.25"/>
    <row r="308" ht="22.5" customHeight="1" x14ac:dyDescent="0.25"/>
    <row r="309" ht="22.5" customHeight="1" x14ac:dyDescent="0.25"/>
    <row r="310" ht="22.5" customHeight="1" x14ac:dyDescent="0.25"/>
    <row r="311" ht="22.5" customHeight="1" x14ac:dyDescent="0.25"/>
    <row r="312" ht="22.5" customHeight="1" x14ac:dyDescent="0.25"/>
    <row r="313" ht="22.5" customHeight="1" x14ac:dyDescent="0.25"/>
    <row r="314" ht="22.5" customHeight="1" x14ac:dyDescent="0.25"/>
    <row r="315" ht="22.5" customHeight="1" x14ac:dyDescent="0.25"/>
    <row r="316" ht="22.5" customHeight="1" x14ac:dyDescent="0.25"/>
    <row r="317" ht="22.5" customHeight="1" x14ac:dyDescent="0.25"/>
    <row r="318" ht="22.5" customHeight="1" x14ac:dyDescent="0.25"/>
    <row r="319" ht="22.5" customHeight="1" x14ac:dyDescent="0.25"/>
    <row r="320" ht="22.5" customHeight="1" x14ac:dyDescent="0.25"/>
    <row r="321" ht="22.5" customHeight="1" x14ac:dyDescent="0.25"/>
    <row r="322" ht="22.5" customHeight="1" x14ac:dyDescent="0.25"/>
    <row r="323" ht="22.5" customHeight="1" x14ac:dyDescent="0.25"/>
    <row r="324" ht="22.5" customHeight="1" x14ac:dyDescent="0.25"/>
    <row r="325" ht="22.5" customHeight="1" x14ac:dyDescent="0.25"/>
    <row r="326" ht="22.5" customHeight="1" x14ac:dyDescent="0.25"/>
    <row r="327" ht="22.5" customHeight="1" x14ac:dyDescent="0.25"/>
    <row r="328" ht="22.5" customHeight="1" x14ac:dyDescent="0.25"/>
    <row r="329" ht="22.5" customHeight="1" x14ac:dyDescent="0.25"/>
    <row r="330" ht="22.5" customHeight="1" x14ac:dyDescent="0.25"/>
    <row r="331" ht="22.5" customHeight="1" x14ac:dyDescent="0.25"/>
    <row r="332" ht="22.5" customHeight="1" x14ac:dyDescent="0.25"/>
    <row r="333" ht="22.5" customHeight="1" x14ac:dyDescent="0.25"/>
    <row r="334" ht="22.5" customHeight="1" x14ac:dyDescent="0.25"/>
    <row r="335" ht="22.5" customHeight="1" x14ac:dyDescent="0.25"/>
    <row r="336" ht="22.5" customHeight="1" x14ac:dyDescent="0.25"/>
    <row r="337" ht="22.5" customHeight="1" x14ac:dyDescent="0.25"/>
    <row r="338" ht="22.5" customHeight="1" x14ac:dyDescent="0.25"/>
    <row r="339" ht="22.5" customHeight="1" x14ac:dyDescent="0.25"/>
    <row r="340" ht="22.5" customHeight="1" x14ac:dyDescent="0.25"/>
    <row r="341" ht="22.5" customHeight="1" x14ac:dyDescent="0.25"/>
    <row r="342" ht="22.5" customHeight="1" x14ac:dyDescent="0.25"/>
    <row r="343" ht="22.5" customHeight="1" x14ac:dyDescent="0.25"/>
    <row r="344" ht="22.5" customHeight="1" x14ac:dyDescent="0.25"/>
    <row r="345" ht="22.5" customHeight="1" x14ac:dyDescent="0.25"/>
    <row r="346" ht="22.5" customHeight="1" x14ac:dyDescent="0.25"/>
    <row r="347" ht="22.5" customHeight="1" x14ac:dyDescent="0.25"/>
    <row r="348" ht="22.5" customHeight="1" x14ac:dyDescent="0.25"/>
    <row r="349" ht="22.5" customHeight="1" x14ac:dyDescent="0.25"/>
    <row r="350" ht="22.5" customHeight="1" x14ac:dyDescent="0.25"/>
    <row r="351" ht="22.5" customHeight="1" x14ac:dyDescent="0.25"/>
    <row r="352" ht="22.5" customHeight="1" x14ac:dyDescent="0.25"/>
    <row r="353" ht="22.5" customHeight="1" x14ac:dyDescent="0.25"/>
    <row r="354" ht="22.5" customHeight="1" x14ac:dyDescent="0.25"/>
    <row r="355" ht="22.5" customHeight="1" x14ac:dyDescent="0.25"/>
    <row r="356" ht="22.5" customHeight="1" x14ac:dyDescent="0.25"/>
    <row r="357" ht="22.5" customHeight="1" x14ac:dyDescent="0.25"/>
    <row r="358" ht="22.5" customHeight="1" x14ac:dyDescent="0.25"/>
    <row r="359" ht="22.5" customHeight="1" x14ac:dyDescent="0.25"/>
    <row r="360" ht="22.5" customHeight="1" x14ac:dyDescent="0.25"/>
    <row r="361" ht="22.5" customHeight="1" x14ac:dyDescent="0.25"/>
    <row r="362" ht="22.5" customHeight="1" x14ac:dyDescent="0.25"/>
    <row r="363" ht="22.5" customHeight="1" x14ac:dyDescent="0.25"/>
    <row r="364" ht="22.5" customHeight="1" x14ac:dyDescent="0.25"/>
    <row r="365" ht="22.5" customHeight="1" x14ac:dyDescent="0.25"/>
    <row r="366" ht="22.5" customHeight="1" x14ac:dyDescent="0.25"/>
    <row r="367" ht="22.5" customHeight="1" x14ac:dyDescent="0.25"/>
    <row r="368" ht="22.5" customHeight="1" x14ac:dyDescent="0.25"/>
    <row r="369" ht="22.5" customHeight="1" x14ac:dyDescent="0.25"/>
    <row r="370" ht="22.5" customHeight="1" x14ac:dyDescent="0.25"/>
    <row r="371" ht="22.5" customHeight="1" x14ac:dyDescent="0.25"/>
    <row r="372" ht="22.5" customHeight="1" x14ac:dyDescent="0.25"/>
    <row r="373" ht="22.5" customHeight="1" x14ac:dyDescent="0.25"/>
    <row r="374" ht="22.5" customHeight="1" x14ac:dyDescent="0.25"/>
    <row r="375" ht="22.5" customHeight="1" x14ac:dyDescent="0.25"/>
    <row r="376" ht="22.5" customHeight="1" x14ac:dyDescent="0.25"/>
    <row r="377" ht="22.5" customHeight="1" x14ac:dyDescent="0.25"/>
    <row r="378" ht="22.5" customHeight="1" x14ac:dyDescent="0.25"/>
    <row r="379" ht="22.5" customHeight="1" x14ac:dyDescent="0.25"/>
    <row r="380" ht="22.5" customHeight="1" x14ac:dyDescent="0.25"/>
    <row r="381" ht="22.5" customHeight="1" x14ac:dyDescent="0.25"/>
    <row r="382" ht="22.5" customHeight="1" x14ac:dyDescent="0.25"/>
    <row r="383" ht="22.5" customHeight="1" x14ac:dyDescent="0.25"/>
    <row r="384" ht="22.5" customHeight="1" x14ac:dyDescent="0.25"/>
    <row r="385" ht="22.5" customHeight="1" x14ac:dyDescent="0.25"/>
    <row r="386" ht="22.5" customHeight="1" x14ac:dyDescent="0.25"/>
    <row r="387" ht="22.5" customHeight="1" x14ac:dyDescent="0.25"/>
    <row r="388" ht="22.5" customHeight="1" x14ac:dyDescent="0.25"/>
    <row r="389" ht="22.5" customHeight="1" x14ac:dyDescent="0.25"/>
    <row r="390" ht="22.5" customHeight="1" x14ac:dyDescent="0.25"/>
    <row r="391" ht="22.5" customHeight="1" x14ac:dyDescent="0.25"/>
    <row r="392" ht="22.5" customHeight="1" x14ac:dyDescent="0.25"/>
    <row r="393" ht="22.5" customHeight="1" x14ac:dyDescent="0.25"/>
    <row r="394" ht="22.5" customHeight="1" x14ac:dyDescent="0.25"/>
    <row r="395" ht="22.5" customHeight="1" x14ac:dyDescent="0.25"/>
    <row r="396" ht="22.5" customHeight="1" x14ac:dyDescent="0.25"/>
    <row r="397" ht="22.5" customHeight="1" x14ac:dyDescent="0.25"/>
    <row r="398" ht="22.5" customHeight="1" x14ac:dyDescent="0.25"/>
    <row r="399" ht="22.5" customHeight="1" x14ac:dyDescent="0.25"/>
    <row r="400" ht="22.5" customHeight="1" x14ac:dyDescent="0.25"/>
    <row r="401" ht="22.5" customHeight="1" x14ac:dyDescent="0.25"/>
    <row r="402" ht="22.5" customHeight="1" x14ac:dyDescent="0.25"/>
    <row r="403" ht="22.5" customHeight="1" x14ac:dyDescent="0.25"/>
    <row r="404" ht="22.5" customHeight="1" x14ac:dyDescent="0.25"/>
    <row r="405" ht="22.5" customHeight="1" x14ac:dyDescent="0.25"/>
    <row r="406" ht="22.5" customHeight="1" x14ac:dyDescent="0.25"/>
    <row r="407" ht="22.5" customHeight="1" x14ac:dyDescent="0.25"/>
    <row r="408" ht="22.5" customHeight="1" x14ac:dyDescent="0.25"/>
    <row r="409" ht="22.5" customHeight="1" x14ac:dyDescent="0.25"/>
    <row r="410" ht="22.5" customHeight="1" x14ac:dyDescent="0.25"/>
    <row r="411" ht="22.5" customHeight="1" x14ac:dyDescent="0.25"/>
    <row r="412" ht="22.5" customHeight="1" x14ac:dyDescent="0.25"/>
    <row r="413" ht="22.5" customHeight="1" x14ac:dyDescent="0.25"/>
    <row r="414" ht="22.5" customHeight="1" x14ac:dyDescent="0.25"/>
    <row r="415" ht="22.5" customHeight="1" x14ac:dyDescent="0.25"/>
    <row r="416" ht="22.5" customHeight="1" x14ac:dyDescent="0.25"/>
    <row r="417" ht="22.5" customHeight="1" x14ac:dyDescent="0.25"/>
    <row r="418" ht="22.5" customHeight="1" x14ac:dyDescent="0.25"/>
    <row r="419" ht="22.5" customHeight="1" x14ac:dyDescent="0.25"/>
    <row r="420" ht="22.5" customHeight="1" x14ac:dyDescent="0.25"/>
    <row r="421" ht="22.5" customHeight="1" x14ac:dyDescent="0.25"/>
    <row r="422" ht="22.5" customHeight="1" x14ac:dyDescent="0.25"/>
    <row r="423" ht="22.5" customHeight="1" x14ac:dyDescent="0.25"/>
    <row r="424" ht="22.5" customHeight="1" x14ac:dyDescent="0.25"/>
    <row r="425" ht="22.5" customHeight="1" x14ac:dyDescent="0.25"/>
    <row r="426" ht="22.5" customHeight="1" x14ac:dyDescent="0.25"/>
    <row r="427" ht="22.5" customHeight="1" x14ac:dyDescent="0.25"/>
    <row r="428" ht="22.5" customHeight="1" x14ac:dyDescent="0.25"/>
    <row r="429" ht="22.5" customHeight="1" x14ac:dyDescent="0.25"/>
    <row r="430" ht="22.5" customHeight="1" x14ac:dyDescent="0.25"/>
    <row r="431" ht="22.5" customHeight="1" x14ac:dyDescent="0.25"/>
    <row r="432" ht="22.5" customHeight="1" x14ac:dyDescent="0.25"/>
    <row r="433" ht="22.5" customHeight="1" x14ac:dyDescent="0.25"/>
    <row r="434" ht="22.5" customHeight="1" x14ac:dyDescent="0.25"/>
    <row r="435" ht="22.5" customHeight="1" x14ac:dyDescent="0.25"/>
    <row r="436" ht="22.5" customHeight="1" x14ac:dyDescent="0.25"/>
    <row r="437" ht="22.5" customHeight="1" x14ac:dyDescent="0.25"/>
    <row r="438" ht="22.5" customHeight="1" x14ac:dyDescent="0.25"/>
    <row r="439" ht="22.5" customHeight="1" x14ac:dyDescent="0.25"/>
    <row r="440" ht="22.5" customHeight="1" x14ac:dyDescent="0.25"/>
    <row r="441" ht="22.5" customHeight="1" x14ac:dyDescent="0.25"/>
    <row r="442" ht="22.5" customHeight="1" x14ac:dyDescent="0.25"/>
    <row r="443" ht="22.5" customHeight="1" x14ac:dyDescent="0.25"/>
    <row r="444" ht="22.5" customHeight="1" x14ac:dyDescent="0.25"/>
    <row r="445" ht="22.5" customHeight="1" x14ac:dyDescent="0.25"/>
    <row r="446" ht="22.5" customHeight="1" x14ac:dyDescent="0.25"/>
    <row r="447" ht="22.5" customHeight="1" x14ac:dyDescent="0.25"/>
    <row r="448" ht="22.5" customHeight="1" x14ac:dyDescent="0.25"/>
    <row r="449" ht="22.5" customHeight="1" x14ac:dyDescent="0.25"/>
    <row r="450" ht="22.5" customHeight="1" x14ac:dyDescent="0.25"/>
    <row r="451" ht="22.5" customHeight="1" x14ac:dyDescent="0.25"/>
    <row r="452" ht="22.5" customHeight="1" x14ac:dyDescent="0.25"/>
    <row r="453" ht="22.5" customHeight="1" x14ac:dyDescent="0.25"/>
    <row r="454" ht="22.5" customHeight="1" x14ac:dyDescent="0.25"/>
    <row r="455" ht="22.5" customHeight="1" x14ac:dyDescent="0.25"/>
    <row r="456" ht="22.5" customHeight="1" x14ac:dyDescent="0.25"/>
    <row r="457" ht="22.5" customHeight="1" x14ac:dyDescent="0.25"/>
    <row r="458" ht="22.5" customHeight="1" x14ac:dyDescent="0.25"/>
    <row r="459" ht="22.5" customHeight="1" x14ac:dyDescent="0.25"/>
    <row r="460" ht="22.5" customHeight="1" x14ac:dyDescent="0.25"/>
    <row r="461" ht="22.5" customHeight="1" x14ac:dyDescent="0.25"/>
    <row r="462" ht="22.5" customHeight="1" x14ac:dyDescent="0.25"/>
    <row r="463" ht="22.5" customHeight="1" x14ac:dyDescent="0.25"/>
    <row r="464" ht="22.5" customHeight="1" x14ac:dyDescent="0.25"/>
    <row r="465" ht="22.5" customHeight="1" x14ac:dyDescent="0.25"/>
    <row r="466" ht="22.5" customHeight="1" x14ac:dyDescent="0.25"/>
    <row r="467" ht="22.5" customHeight="1" x14ac:dyDescent="0.25"/>
    <row r="468" ht="22.5" customHeight="1" x14ac:dyDescent="0.25"/>
    <row r="469" ht="22.5" customHeight="1" x14ac:dyDescent="0.25"/>
    <row r="470" ht="22.5" customHeight="1" x14ac:dyDescent="0.25"/>
    <row r="471" ht="22.5" customHeight="1" x14ac:dyDescent="0.25"/>
    <row r="472" ht="22.5" customHeight="1" x14ac:dyDescent="0.25"/>
    <row r="473" ht="22.5" customHeight="1" x14ac:dyDescent="0.25"/>
    <row r="474" ht="22.5" customHeight="1" x14ac:dyDescent="0.25"/>
    <row r="475" ht="22.5" customHeight="1" x14ac:dyDescent="0.25"/>
    <row r="476" ht="22.5" customHeight="1" x14ac:dyDescent="0.25"/>
    <row r="477" ht="22.5" customHeight="1" x14ac:dyDescent="0.25"/>
    <row r="478" ht="22.5" customHeight="1" x14ac:dyDescent="0.25"/>
    <row r="479" ht="22.5" customHeight="1" x14ac:dyDescent="0.25"/>
    <row r="480" ht="22.5" customHeight="1" x14ac:dyDescent="0.25"/>
    <row r="481" ht="22.5" customHeight="1" x14ac:dyDescent="0.25"/>
    <row r="482" ht="22.5" customHeight="1" x14ac:dyDescent="0.25"/>
    <row r="483" ht="22.5" customHeight="1" x14ac:dyDescent="0.25"/>
    <row r="484" ht="22.5" customHeight="1" x14ac:dyDescent="0.25"/>
    <row r="485" ht="22.5" customHeight="1" x14ac:dyDescent="0.25"/>
    <row r="486" ht="22.5" customHeight="1" x14ac:dyDescent="0.25"/>
    <row r="487" ht="22.5" customHeight="1" x14ac:dyDescent="0.25"/>
    <row r="488" ht="22.5" customHeight="1" x14ac:dyDescent="0.25"/>
    <row r="489" ht="22.5" customHeight="1" x14ac:dyDescent="0.25"/>
    <row r="490" ht="22.5" customHeight="1" x14ac:dyDescent="0.25"/>
    <row r="491" ht="22.5" customHeight="1" x14ac:dyDescent="0.25"/>
    <row r="492" ht="22.5" customHeight="1" x14ac:dyDescent="0.25"/>
    <row r="493" ht="22.5" customHeight="1" x14ac:dyDescent="0.25"/>
    <row r="494" ht="22.5" customHeight="1" x14ac:dyDescent="0.25"/>
    <row r="495" ht="22.5" customHeight="1" x14ac:dyDescent="0.25"/>
    <row r="496" ht="22.5" customHeight="1" x14ac:dyDescent="0.25"/>
    <row r="497" ht="22.5" customHeight="1" x14ac:dyDescent="0.25"/>
    <row r="498" ht="22.5" customHeight="1" x14ac:dyDescent="0.25"/>
    <row r="499" ht="22.5" customHeight="1" x14ac:dyDescent="0.25"/>
    <row r="500" ht="22.5" customHeight="1" x14ac:dyDescent="0.25"/>
    <row r="501" ht="22.5" customHeight="1" x14ac:dyDescent="0.25"/>
    <row r="502" ht="22.5" customHeight="1" x14ac:dyDescent="0.25"/>
    <row r="503" ht="22.5" customHeight="1" x14ac:dyDescent="0.25"/>
    <row r="504" ht="22.5" customHeight="1" x14ac:dyDescent="0.25"/>
    <row r="505" ht="22.5" customHeight="1" x14ac:dyDescent="0.25"/>
    <row r="506" ht="22.5" customHeight="1" x14ac:dyDescent="0.25"/>
    <row r="507" ht="22.5" customHeight="1" x14ac:dyDescent="0.25"/>
    <row r="508" ht="22.5" customHeight="1" x14ac:dyDescent="0.25"/>
    <row r="509" ht="22.5" customHeight="1" x14ac:dyDescent="0.25"/>
    <row r="510" ht="22.5" customHeight="1" x14ac:dyDescent="0.25"/>
    <row r="511" ht="22.5" customHeight="1" x14ac:dyDescent="0.25"/>
    <row r="512" ht="22.5" customHeight="1" x14ac:dyDescent="0.25"/>
    <row r="513" ht="22.5" customHeight="1" x14ac:dyDescent="0.25"/>
    <row r="514" ht="22.5" customHeight="1" x14ac:dyDescent="0.25"/>
    <row r="515" ht="22.5" customHeight="1" x14ac:dyDescent="0.25"/>
    <row r="516" ht="22.5" customHeight="1" x14ac:dyDescent="0.25"/>
    <row r="517" ht="22.5" customHeight="1" x14ac:dyDescent="0.25"/>
    <row r="518" ht="22.5" customHeight="1" x14ac:dyDescent="0.25"/>
    <row r="519" ht="22.5" customHeight="1" x14ac:dyDescent="0.25"/>
    <row r="520" ht="22.5" customHeight="1" x14ac:dyDescent="0.25"/>
    <row r="521" ht="22.5" customHeight="1" x14ac:dyDescent="0.25"/>
    <row r="522" ht="22.5" customHeight="1" x14ac:dyDescent="0.25"/>
    <row r="523" ht="22.5" customHeight="1" x14ac:dyDescent="0.25"/>
    <row r="524" ht="22.5" customHeight="1" x14ac:dyDescent="0.25"/>
    <row r="525" ht="22.5" customHeight="1" x14ac:dyDescent="0.25"/>
    <row r="526" ht="22.5" customHeight="1" x14ac:dyDescent="0.25"/>
    <row r="527" ht="22.5" customHeight="1" x14ac:dyDescent="0.25"/>
    <row r="528" ht="22.5" customHeight="1" x14ac:dyDescent="0.25"/>
    <row r="529" ht="22.5" customHeight="1" x14ac:dyDescent="0.25"/>
    <row r="530" ht="22.5" customHeight="1" x14ac:dyDescent="0.25"/>
    <row r="531" ht="22.5" customHeight="1" x14ac:dyDescent="0.25"/>
    <row r="532" ht="22.5" customHeight="1" x14ac:dyDescent="0.25"/>
    <row r="533" ht="22.5" customHeight="1" x14ac:dyDescent="0.25"/>
    <row r="534" ht="22.5" customHeight="1" x14ac:dyDescent="0.25"/>
    <row r="535" ht="22.5" customHeight="1" x14ac:dyDescent="0.25"/>
    <row r="536" ht="22.5" customHeight="1" x14ac:dyDescent="0.25"/>
    <row r="537" ht="22.5" customHeight="1" x14ac:dyDescent="0.25"/>
    <row r="538" ht="22.5" customHeight="1" x14ac:dyDescent="0.25"/>
    <row r="539" ht="22.5" customHeight="1" x14ac:dyDescent="0.25"/>
    <row r="540" ht="22.5" customHeight="1" x14ac:dyDescent="0.25"/>
    <row r="541" ht="22.5" customHeight="1" x14ac:dyDescent="0.25"/>
    <row r="542" ht="22.5" customHeight="1" x14ac:dyDescent="0.25"/>
    <row r="543" ht="22.5" customHeight="1" x14ac:dyDescent="0.25"/>
    <row r="544" ht="22.5" customHeight="1" x14ac:dyDescent="0.25"/>
    <row r="545" ht="22.5" customHeight="1" x14ac:dyDescent="0.25"/>
    <row r="546" ht="22.5" customHeight="1" x14ac:dyDescent="0.25"/>
    <row r="547" ht="22.5" customHeight="1" x14ac:dyDescent="0.25"/>
    <row r="548" ht="22.5" customHeight="1" x14ac:dyDescent="0.25"/>
    <row r="549" ht="22.5" customHeight="1" x14ac:dyDescent="0.25"/>
    <row r="550" ht="22.5" customHeight="1" x14ac:dyDescent="0.25"/>
    <row r="551" ht="22.5" customHeight="1" x14ac:dyDescent="0.25"/>
    <row r="552" ht="22.5" customHeight="1" x14ac:dyDescent="0.25"/>
    <row r="553" ht="22.5" customHeight="1" x14ac:dyDescent="0.25"/>
    <row r="554" ht="22.5" customHeight="1" x14ac:dyDescent="0.25"/>
    <row r="555" ht="22.5" customHeight="1" x14ac:dyDescent="0.25"/>
    <row r="556" ht="22.5" customHeight="1" x14ac:dyDescent="0.25"/>
    <row r="557" ht="22.5" customHeight="1" x14ac:dyDescent="0.25"/>
    <row r="558" ht="22.5" customHeight="1" x14ac:dyDescent="0.25"/>
    <row r="559" ht="22.5" customHeight="1" x14ac:dyDescent="0.25"/>
    <row r="560" ht="22.5" customHeight="1" x14ac:dyDescent="0.25"/>
    <row r="561" ht="22.5" customHeight="1" x14ac:dyDescent="0.25"/>
    <row r="562" ht="22.5" customHeight="1" x14ac:dyDescent="0.25"/>
    <row r="563" ht="22.5" customHeight="1" x14ac:dyDescent="0.25"/>
    <row r="564" ht="22.5" customHeight="1" x14ac:dyDescent="0.25"/>
    <row r="565" ht="22.5" customHeight="1" x14ac:dyDescent="0.25"/>
    <row r="566" ht="22.5" customHeight="1" x14ac:dyDescent="0.25"/>
    <row r="567" ht="22.5" customHeight="1" x14ac:dyDescent="0.25"/>
    <row r="568" ht="22.5" customHeight="1" x14ac:dyDescent="0.25"/>
    <row r="569" ht="22.5" customHeight="1" x14ac:dyDescent="0.25"/>
    <row r="570" ht="22.5" customHeight="1" x14ac:dyDescent="0.25"/>
    <row r="571" ht="22.5" customHeight="1" x14ac:dyDescent="0.25"/>
    <row r="572" ht="22.5" customHeight="1" x14ac:dyDescent="0.25"/>
    <row r="573" ht="22.5" customHeight="1" x14ac:dyDescent="0.25"/>
    <row r="574" ht="22.5" customHeight="1" x14ac:dyDescent="0.25"/>
    <row r="575" ht="22.5" customHeight="1" x14ac:dyDescent="0.25"/>
    <row r="576" ht="22.5" customHeight="1" x14ac:dyDescent="0.25"/>
    <row r="577" ht="22.5" customHeight="1" x14ac:dyDescent="0.25"/>
    <row r="578" ht="22.5" customHeight="1" x14ac:dyDescent="0.25"/>
    <row r="579" ht="22.5" customHeight="1" x14ac:dyDescent="0.25"/>
    <row r="580" ht="22.5" customHeight="1" x14ac:dyDescent="0.25"/>
    <row r="581" ht="22.5" customHeight="1" x14ac:dyDescent="0.25"/>
    <row r="582" ht="22.5" customHeight="1" x14ac:dyDescent="0.25"/>
    <row r="583" ht="22.5" customHeight="1" x14ac:dyDescent="0.25"/>
    <row r="584" ht="22.5" customHeight="1" x14ac:dyDescent="0.25"/>
    <row r="585" ht="22.5" customHeight="1" x14ac:dyDescent="0.25"/>
    <row r="586" ht="22.5" customHeight="1" x14ac:dyDescent="0.25"/>
    <row r="587" ht="22.5" customHeight="1" x14ac:dyDescent="0.25"/>
    <row r="588" ht="22.5" customHeight="1" x14ac:dyDescent="0.25"/>
    <row r="589" ht="22.5" customHeight="1" x14ac:dyDescent="0.25"/>
    <row r="590" ht="22.5" customHeight="1" x14ac:dyDescent="0.25"/>
    <row r="591" ht="22.5" customHeight="1" x14ac:dyDescent="0.25"/>
    <row r="592" ht="22.5" customHeight="1" x14ac:dyDescent="0.25"/>
    <row r="593" ht="22.5" customHeight="1" x14ac:dyDescent="0.25"/>
    <row r="594" ht="22.5" customHeight="1" x14ac:dyDescent="0.25"/>
    <row r="595" ht="22.5" customHeight="1" x14ac:dyDescent="0.25"/>
    <row r="596" ht="22.5" customHeight="1" x14ac:dyDescent="0.25"/>
    <row r="597" ht="22.5" customHeight="1" x14ac:dyDescent="0.25"/>
    <row r="598" ht="22.5" customHeight="1" x14ac:dyDescent="0.25"/>
    <row r="599" ht="22.5" customHeight="1" x14ac:dyDescent="0.25"/>
    <row r="600" ht="22.5" customHeight="1" x14ac:dyDescent="0.25"/>
    <row r="601" ht="22.5" customHeight="1" x14ac:dyDescent="0.25"/>
    <row r="602" ht="22.5" customHeight="1" x14ac:dyDescent="0.25"/>
    <row r="603" ht="22.5" customHeight="1" x14ac:dyDescent="0.25"/>
    <row r="604" ht="22.5" customHeight="1" x14ac:dyDescent="0.25"/>
    <row r="605" ht="22.5" customHeight="1" x14ac:dyDescent="0.25"/>
    <row r="606" ht="22.5" customHeight="1" x14ac:dyDescent="0.25"/>
    <row r="607" ht="22.5" customHeight="1" x14ac:dyDescent="0.25"/>
    <row r="608" ht="22.5" customHeight="1" x14ac:dyDescent="0.25"/>
    <row r="609" ht="22.5" customHeight="1" x14ac:dyDescent="0.25"/>
    <row r="610" ht="22.5" customHeight="1" x14ac:dyDescent="0.25"/>
    <row r="611" ht="22.5" customHeight="1" x14ac:dyDescent="0.25"/>
    <row r="612" ht="22.5" customHeight="1" x14ac:dyDescent="0.25"/>
    <row r="613" ht="22.5" customHeight="1" x14ac:dyDescent="0.25"/>
    <row r="614" ht="22.5" customHeight="1" x14ac:dyDescent="0.25"/>
    <row r="615" ht="22.5" customHeight="1" x14ac:dyDescent="0.25"/>
    <row r="616" ht="22.5" customHeight="1" x14ac:dyDescent="0.25"/>
    <row r="617" ht="22.5" customHeight="1" x14ac:dyDescent="0.25"/>
    <row r="618" ht="22.5" customHeight="1" x14ac:dyDescent="0.25"/>
    <row r="619" ht="22.5" customHeight="1" x14ac:dyDescent="0.25"/>
    <row r="620" ht="22.5" customHeight="1" x14ac:dyDescent="0.25"/>
    <row r="621" ht="22.5" customHeight="1" x14ac:dyDescent="0.25"/>
    <row r="622" ht="22.5" customHeight="1" x14ac:dyDescent="0.25"/>
    <row r="623" ht="22.5" customHeight="1" x14ac:dyDescent="0.25"/>
    <row r="624" ht="22.5" customHeight="1" x14ac:dyDescent="0.25"/>
    <row r="625" ht="22.5" customHeight="1" x14ac:dyDescent="0.25"/>
    <row r="626" ht="22.5" customHeight="1" x14ac:dyDescent="0.25"/>
    <row r="627" ht="22.5" customHeight="1" x14ac:dyDescent="0.25"/>
    <row r="628" ht="22.5" customHeight="1" x14ac:dyDescent="0.25"/>
    <row r="629" ht="22.5" customHeight="1" x14ac:dyDescent="0.25"/>
    <row r="630" ht="22.5" customHeight="1" x14ac:dyDescent="0.25"/>
    <row r="631" ht="22.5" customHeight="1" x14ac:dyDescent="0.25"/>
    <row r="632" ht="22.5" customHeight="1" x14ac:dyDescent="0.25"/>
    <row r="633" ht="22.5" customHeight="1" x14ac:dyDescent="0.25"/>
    <row r="634" ht="22.5" customHeight="1" x14ac:dyDescent="0.25"/>
    <row r="635" ht="22.5" customHeight="1" x14ac:dyDescent="0.25"/>
    <row r="636" ht="22.5" customHeight="1" x14ac:dyDescent="0.25"/>
    <row r="637" ht="22.5" customHeight="1" x14ac:dyDescent="0.25"/>
    <row r="638" ht="22.5" customHeight="1" x14ac:dyDescent="0.25"/>
    <row r="639" ht="22.5" customHeight="1" x14ac:dyDescent="0.25"/>
    <row r="640" ht="22.5" customHeight="1" x14ac:dyDescent="0.25"/>
    <row r="641" ht="22.5" customHeight="1" x14ac:dyDescent="0.25"/>
    <row r="642" ht="22.5" customHeight="1" x14ac:dyDescent="0.25"/>
    <row r="643" ht="22.5" customHeight="1" x14ac:dyDescent="0.25"/>
    <row r="644" ht="22.5" customHeight="1" x14ac:dyDescent="0.25"/>
    <row r="645" ht="22.5" customHeight="1" x14ac:dyDescent="0.25"/>
    <row r="646" ht="22.5" customHeight="1" x14ac:dyDescent="0.25"/>
    <row r="647" ht="22.5" customHeight="1" x14ac:dyDescent="0.25"/>
    <row r="648" ht="22.5" customHeight="1" x14ac:dyDescent="0.25"/>
    <row r="649" ht="22.5" customHeight="1" x14ac:dyDescent="0.25"/>
    <row r="650" ht="22.5" customHeight="1" x14ac:dyDescent="0.25"/>
    <row r="651" ht="22.5" customHeight="1" x14ac:dyDescent="0.25"/>
    <row r="652" ht="22.5" customHeight="1" x14ac:dyDescent="0.25"/>
    <row r="653" ht="22.5" customHeight="1" x14ac:dyDescent="0.25"/>
    <row r="654" ht="22.5" customHeight="1" x14ac:dyDescent="0.25"/>
    <row r="655" ht="22.5" customHeight="1" x14ac:dyDescent="0.25"/>
    <row r="656" ht="22.5" customHeight="1" x14ac:dyDescent="0.25"/>
    <row r="657" ht="22.5" customHeight="1" x14ac:dyDescent="0.25"/>
    <row r="658" ht="22.5" customHeight="1" x14ac:dyDescent="0.25"/>
    <row r="659" ht="22.5" customHeight="1" x14ac:dyDescent="0.25"/>
    <row r="660" ht="22.5" customHeight="1" x14ac:dyDescent="0.25"/>
    <row r="661" ht="22.5" customHeight="1" x14ac:dyDescent="0.25"/>
    <row r="662" ht="22.5" customHeight="1" x14ac:dyDescent="0.25"/>
    <row r="663" ht="22.5" customHeight="1" x14ac:dyDescent="0.25"/>
    <row r="664" ht="22.5" customHeight="1" x14ac:dyDescent="0.25"/>
    <row r="665" ht="22.5" customHeight="1" x14ac:dyDescent="0.25"/>
    <row r="666" ht="22.5" customHeight="1" x14ac:dyDescent="0.25"/>
    <row r="667" ht="22.5" customHeight="1" x14ac:dyDescent="0.25"/>
    <row r="668" ht="22.5" customHeight="1" x14ac:dyDescent="0.25"/>
    <row r="669" ht="22.5" customHeight="1" x14ac:dyDescent="0.25"/>
    <row r="670" ht="22.5" customHeight="1" x14ac:dyDescent="0.25"/>
    <row r="671" ht="22.5" customHeight="1" x14ac:dyDescent="0.25"/>
    <row r="672" ht="22.5" customHeight="1" x14ac:dyDescent="0.25"/>
    <row r="673" ht="22.5" customHeight="1" x14ac:dyDescent="0.25"/>
    <row r="674" ht="22.5" customHeight="1" x14ac:dyDescent="0.25"/>
    <row r="675" ht="22.5" customHeight="1" x14ac:dyDescent="0.25"/>
    <row r="676" ht="22.5" customHeight="1" x14ac:dyDescent="0.25"/>
    <row r="677" ht="22.5" customHeight="1" x14ac:dyDescent="0.25"/>
    <row r="678" ht="22.5" customHeight="1" x14ac:dyDescent="0.25"/>
    <row r="679" ht="22.5" customHeight="1" x14ac:dyDescent="0.25"/>
    <row r="680" ht="22.5" customHeight="1" x14ac:dyDescent="0.25"/>
    <row r="681" ht="22.5" customHeight="1" x14ac:dyDescent="0.25"/>
    <row r="682" ht="22.5" customHeight="1" x14ac:dyDescent="0.25"/>
    <row r="683" ht="22.5" customHeight="1" x14ac:dyDescent="0.25"/>
    <row r="684" ht="22.5" customHeight="1" x14ac:dyDescent="0.25"/>
    <row r="685" ht="22.5" customHeight="1" x14ac:dyDescent="0.25"/>
    <row r="686" ht="22.5" customHeight="1" x14ac:dyDescent="0.25"/>
    <row r="687" ht="22.5" customHeight="1" x14ac:dyDescent="0.25"/>
    <row r="688" ht="22.5" customHeight="1" x14ac:dyDescent="0.25"/>
    <row r="689" ht="22.5" customHeight="1" x14ac:dyDescent="0.25"/>
    <row r="690" ht="22.5" customHeight="1" x14ac:dyDescent="0.25"/>
    <row r="691" ht="22.5" customHeight="1" x14ac:dyDescent="0.25"/>
    <row r="692" ht="22.5" customHeight="1" x14ac:dyDescent="0.25"/>
    <row r="693" ht="22.5" customHeight="1" x14ac:dyDescent="0.25"/>
    <row r="694" ht="22.5" customHeight="1" x14ac:dyDescent="0.25"/>
    <row r="695" ht="22.5" customHeight="1" x14ac:dyDescent="0.25"/>
    <row r="696" ht="22.5" customHeight="1" x14ac:dyDescent="0.25"/>
    <row r="697" ht="22.5" customHeight="1" x14ac:dyDescent="0.25"/>
    <row r="698" ht="22.5" customHeight="1" x14ac:dyDescent="0.25"/>
    <row r="699" ht="22.5" customHeight="1" x14ac:dyDescent="0.25"/>
    <row r="700" ht="22.5" customHeight="1" x14ac:dyDescent="0.25"/>
    <row r="701" ht="22.5" customHeight="1" x14ac:dyDescent="0.25"/>
    <row r="702" ht="22.5" customHeight="1" x14ac:dyDescent="0.25"/>
    <row r="703" ht="22.5" customHeight="1" x14ac:dyDescent="0.25"/>
    <row r="704" ht="22.5" customHeight="1" x14ac:dyDescent="0.25"/>
    <row r="705" ht="22.5" customHeight="1" x14ac:dyDescent="0.25"/>
    <row r="706" ht="22.5" customHeight="1" x14ac:dyDescent="0.25"/>
    <row r="707" ht="22.5" customHeight="1" x14ac:dyDescent="0.25"/>
    <row r="708" ht="22.5" customHeight="1" x14ac:dyDescent="0.25"/>
    <row r="709" ht="22.5" customHeight="1" x14ac:dyDescent="0.25"/>
    <row r="710" ht="22.5" customHeight="1" x14ac:dyDescent="0.25"/>
    <row r="711" ht="22.5" customHeight="1" x14ac:dyDescent="0.25"/>
    <row r="712" ht="22.5" customHeight="1" x14ac:dyDescent="0.25"/>
    <row r="713" ht="22.5" customHeight="1" x14ac:dyDescent="0.25"/>
    <row r="714" ht="22.5" customHeight="1" x14ac:dyDescent="0.25"/>
    <row r="715" ht="22.5" customHeight="1" x14ac:dyDescent="0.25"/>
    <row r="716" ht="22.5" customHeight="1" x14ac:dyDescent="0.25"/>
    <row r="717" ht="22.5" customHeight="1" x14ac:dyDescent="0.25"/>
    <row r="718" ht="22.5" customHeight="1" x14ac:dyDescent="0.25"/>
    <row r="719" ht="22.5" customHeight="1" x14ac:dyDescent="0.25"/>
    <row r="720" ht="22.5" customHeight="1" x14ac:dyDescent="0.25"/>
    <row r="721" ht="22.5" customHeight="1" x14ac:dyDescent="0.25"/>
    <row r="722" ht="22.5" customHeight="1" x14ac:dyDescent="0.25"/>
    <row r="723" ht="22.5" customHeight="1" x14ac:dyDescent="0.25"/>
    <row r="724" ht="22.5" customHeight="1" x14ac:dyDescent="0.25"/>
    <row r="725" ht="22.5" customHeight="1" x14ac:dyDescent="0.25"/>
    <row r="726" ht="22.5" customHeight="1" x14ac:dyDescent="0.25"/>
    <row r="727" ht="22.5" customHeight="1" x14ac:dyDescent="0.25"/>
    <row r="728" ht="22.5" customHeight="1" x14ac:dyDescent="0.25"/>
    <row r="729" ht="22.5" customHeight="1" x14ac:dyDescent="0.25"/>
    <row r="730" ht="22.5" customHeight="1" x14ac:dyDescent="0.25"/>
    <row r="731" ht="22.5" customHeight="1" x14ac:dyDescent="0.25"/>
    <row r="732" ht="22.5" customHeight="1" x14ac:dyDescent="0.25"/>
    <row r="733" ht="22.5" customHeight="1" x14ac:dyDescent="0.25"/>
    <row r="734" ht="22.5" customHeight="1" x14ac:dyDescent="0.25"/>
    <row r="735" ht="22.5" customHeight="1" x14ac:dyDescent="0.25"/>
    <row r="736" ht="22.5" customHeight="1" x14ac:dyDescent="0.25"/>
    <row r="737" ht="22.5" customHeight="1" x14ac:dyDescent="0.25"/>
    <row r="738" ht="22.5" customHeight="1" x14ac:dyDescent="0.25"/>
    <row r="739" ht="22.5" customHeight="1" x14ac:dyDescent="0.25"/>
    <row r="740" ht="22.5" customHeight="1" x14ac:dyDescent="0.25"/>
    <row r="741" ht="22.5" customHeight="1" x14ac:dyDescent="0.25"/>
    <row r="742" ht="22.5" customHeight="1" x14ac:dyDescent="0.25"/>
    <row r="743" ht="22.5" customHeight="1" x14ac:dyDescent="0.25"/>
    <row r="744" ht="22.5" customHeight="1" x14ac:dyDescent="0.25"/>
    <row r="745" ht="22.5" customHeight="1" x14ac:dyDescent="0.25"/>
    <row r="746" ht="22.5" customHeight="1" x14ac:dyDescent="0.25"/>
    <row r="747" ht="22.5" customHeight="1" x14ac:dyDescent="0.25"/>
    <row r="748" ht="22.5" customHeight="1" x14ac:dyDescent="0.25"/>
    <row r="749" ht="22.5" customHeight="1" x14ac:dyDescent="0.25"/>
    <row r="750" ht="22.5" customHeight="1" x14ac:dyDescent="0.25"/>
    <row r="751" ht="22.5" customHeight="1" x14ac:dyDescent="0.25"/>
    <row r="752" ht="22.5" customHeight="1" x14ac:dyDescent="0.25"/>
    <row r="753" ht="22.5" customHeight="1" x14ac:dyDescent="0.25"/>
    <row r="754" ht="22.5" customHeight="1" x14ac:dyDescent="0.25"/>
    <row r="755" ht="22.5" customHeight="1" x14ac:dyDescent="0.25"/>
    <row r="756" ht="22.5" customHeight="1" x14ac:dyDescent="0.25"/>
    <row r="757" ht="22.5" customHeight="1" x14ac:dyDescent="0.25"/>
    <row r="758" ht="22.5" customHeight="1" x14ac:dyDescent="0.25"/>
    <row r="759" ht="22.5" customHeight="1" x14ac:dyDescent="0.25"/>
    <row r="760" ht="22.5" customHeight="1" x14ac:dyDescent="0.25"/>
    <row r="761" ht="22.5" customHeight="1" x14ac:dyDescent="0.25"/>
    <row r="762" ht="22.5" customHeight="1" x14ac:dyDescent="0.25"/>
    <row r="763" ht="22.5" customHeight="1" x14ac:dyDescent="0.25"/>
    <row r="764" ht="22.5" customHeight="1" x14ac:dyDescent="0.25"/>
    <row r="765" ht="22.5" customHeight="1" x14ac:dyDescent="0.25"/>
    <row r="766" ht="22.5" customHeight="1" x14ac:dyDescent="0.25"/>
    <row r="767" ht="22.5" customHeight="1" x14ac:dyDescent="0.25"/>
    <row r="768" ht="22.5" customHeight="1" x14ac:dyDescent="0.25"/>
    <row r="769" ht="22.5" customHeight="1" x14ac:dyDescent="0.25"/>
    <row r="770" ht="22.5" customHeight="1" x14ac:dyDescent="0.25"/>
    <row r="771" ht="22.5" customHeight="1" x14ac:dyDescent="0.25"/>
    <row r="772" ht="22.5" customHeight="1" x14ac:dyDescent="0.25"/>
    <row r="773" ht="22.5" customHeight="1" x14ac:dyDescent="0.25"/>
    <row r="774" ht="22.5" customHeight="1" x14ac:dyDescent="0.25"/>
    <row r="775" ht="22.5" customHeight="1" x14ac:dyDescent="0.25"/>
    <row r="776" ht="22.5" customHeight="1" x14ac:dyDescent="0.25"/>
    <row r="777" ht="22.5" customHeight="1" x14ac:dyDescent="0.25"/>
    <row r="778" ht="22.5" customHeight="1" x14ac:dyDescent="0.25"/>
    <row r="779" ht="22.5" customHeight="1" x14ac:dyDescent="0.25"/>
    <row r="780" ht="22.5" customHeight="1" x14ac:dyDescent="0.25"/>
    <row r="781" ht="22.5" customHeight="1" x14ac:dyDescent="0.25"/>
    <row r="782" ht="22.5" customHeight="1" x14ac:dyDescent="0.25"/>
    <row r="783" ht="22.5" customHeight="1" x14ac:dyDescent="0.25"/>
    <row r="784" ht="22.5" customHeight="1" x14ac:dyDescent="0.25"/>
    <row r="785" ht="22.5" customHeight="1" x14ac:dyDescent="0.25"/>
    <row r="786" ht="22.5" customHeight="1" x14ac:dyDescent="0.25"/>
    <row r="787" ht="22.5" customHeight="1" x14ac:dyDescent="0.25"/>
    <row r="788" ht="22.5" customHeight="1" x14ac:dyDescent="0.25"/>
    <row r="789" ht="22.5" customHeight="1" x14ac:dyDescent="0.25"/>
    <row r="790" ht="22.5" customHeight="1" x14ac:dyDescent="0.25"/>
    <row r="791" ht="22.5" customHeight="1" x14ac:dyDescent="0.25"/>
    <row r="792" ht="22.5" customHeight="1" x14ac:dyDescent="0.25"/>
    <row r="793" ht="22.5" customHeight="1" x14ac:dyDescent="0.25"/>
    <row r="794" ht="22.5" customHeight="1" x14ac:dyDescent="0.25"/>
    <row r="795" ht="22.5" customHeight="1" x14ac:dyDescent="0.25"/>
    <row r="796" ht="22.5" customHeight="1" x14ac:dyDescent="0.25"/>
    <row r="797" ht="22.5" customHeight="1" x14ac:dyDescent="0.25"/>
    <row r="798" ht="22.5" customHeight="1" x14ac:dyDescent="0.25"/>
    <row r="799" ht="22.5" customHeight="1" x14ac:dyDescent="0.25"/>
    <row r="800" ht="22.5" customHeight="1" x14ac:dyDescent="0.25"/>
    <row r="801" ht="22.5" customHeight="1" x14ac:dyDescent="0.25"/>
    <row r="802" ht="22.5" customHeight="1" x14ac:dyDescent="0.25"/>
    <row r="803" ht="22.5" customHeight="1" x14ac:dyDescent="0.25"/>
    <row r="804" ht="22.5" customHeight="1" x14ac:dyDescent="0.25"/>
    <row r="805" ht="22.5" customHeight="1" x14ac:dyDescent="0.25"/>
    <row r="806" ht="22.5" customHeight="1" x14ac:dyDescent="0.25"/>
    <row r="807" ht="22.5" customHeight="1" x14ac:dyDescent="0.25"/>
    <row r="808" ht="22.5" customHeight="1" x14ac:dyDescent="0.25"/>
    <row r="809" ht="22.5" customHeight="1" x14ac:dyDescent="0.25"/>
    <row r="810" ht="22.5" customHeight="1" x14ac:dyDescent="0.25"/>
    <row r="811" ht="22.5" customHeight="1" x14ac:dyDescent="0.25"/>
    <row r="812" ht="22.5" customHeight="1" x14ac:dyDescent="0.25"/>
    <row r="813" ht="22.5" customHeight="1" x14ac:dyDescent="0.25"/>
    <row r="814" ht="22.5" customHeight="1" x14ac:dyDescent="0.25"/>
    <row r="815" ht="22.5" customHeight="1" x14ac:dyDescent="0.25"/>
    <row r="816" ht="22.5" customHeight="1" x14ac:dyDescent="0.25"/>
    <row r="817" ht="22.5" customHeight="1" x14ac:dyDescent="0.25"/>
    <row r="818" ht="22.5" customHeight="1" x14ac:dyDescent="0.25"/>
    <row r="819" ht="22.5" customHeight="1" x14ac:dyDescent="0.25"/>
    <row r="820" ht="22.5" customHeight="1" x14ac:dyDescent="0.25"/>
    <row r="821" ht="22.5" customHeight="1" x14ac:dyDescent="0.25"/>
    <row r="822" ht="22.5" customHeight="1" x14ac:dyDescent="0.25"/>
    <row r="823" ht="22.5" customHeight="1" x14ac:dyDescent="0.25"/>
    <row r="824" ht="22.5" customHeight="1" x14ac:dyDescent="0.25"/>
    <row r="825" ht="22.5" customHeight="1" x14ac:dyDescent="0.25"/>
    <row r="826" ht="22.5" customHeight="1" x14ac:dyDescent="0.25"/>
    <row r="827" ht="22.5" customHeight="1" x14ac:dyDescent="0.25"/>
    <row r="828" ht="22.5" customHeight="1" x14ac:dyDescent="0.25"/>
    <row r="829" ht="22.5" customHeight="1" x14ac:dyDescent="0.25"/>
    <row r="830" ht="22.5" customHeight="1" x14ac:dyDescent="0.25"/>
    <row r="831" ht="22.5" customHeight="1" x14ac:dyDescent="0.25"/>
    <row r="832" ht="22.5" customHeight="1" x14ac:dyDescent="0.25"/>
    <row r="833" ht="22.5" customHeight="1" x14ac:dyDescent="0.25"/>
    <row r="834" ht="22.5" customHeight="1" x14ac:dyDescent="0.25"/>
    <row r="835" ht="22.5" customHeight="1" x14ac:dyDescent="0.25"/>
    <row r="836" ht="22.5" customHeight="1" x14ac:dyDescent="0.25"/>
    <row r="837" ht="22.5" customHeight="1" x14ac:dyDescent="0.25"/>
    <row r="838" ht="22.5" customHeight="1" x14ac:dyDescent="0.25"/>
    <row r="839" ht="22.5" customHeight="1" x14ac:dyDescent="0.25"/>
    <row r="840" ht="22.5" customHeight="1" x14ac:dyDescent="0.25"/>
    <row r="841" ht="22.5" customHeight="1" x14ac:dyDescent="0.25"/>
    <row r="842" ht="22.5" customHeight="1" x14ac:dyDescent="0.25"/>
    <row r="843" ht="22.5" customHeight="1" x14ac:dyDescent="0.25"/>
    <row r="844" ht="22.5" customHeight="1" x14ac:dyDescent="0.25"/>
    <row r="845" ht="22.5" customHeight="1" x14ac:dyDescent="0.25"/>
    <row r="846" ht="22.5" customHeight="1" x14ac:dyDescent="0.25"/>
    <row r="847" ht="22.5" customHeight="1" x14ac:dyDescent="0.25"/>
    <row r="848" ht="22.5" customHeight="1" x14ac:dyDescent="0.25"/>
    <row r="849" ht="22.5" customHeight="1" x14ac:dyDescent="0.25"/>
    <row r="850" ht="22.5" customHeight="1" x14ac:dyDescent="0.25"/>
    <row r="851" ht="22.5" customHeight="1" x14ac:dyDescent="0.25"/>
    <row r="852" ht="22.5" customHeight="1" x14ac:dyDescent="0.25"/>
    <row r="853" ht="22.5" customHeight="1" x14ac:dyDescent="0.25"/>
    <row r="854" ht="22.5" customHeight="1" x14ac:dyDescent="0.25"/>
    <row r="855" ht="22.5" customHeight="1" x14ac:dyDescent="0.25"/>
    <row r="856" ht="22.5" customHeight="1" x14ac:dyDescent="0.25"/>
    <row r="857" ht="22.5" customHeight="1" x14ac:dyDescent="0.25"/>
    <row r="858" ht="22.5" customHeight="1" x14ac:dyDescent="0.25"/>
    <row r="859" ht="22.5" customHeight="1" x14ac:dyDescent="0.25"/>
    <row r="860" ht="22.5" customHeight="1" x14ac:dyDescent="0.25"/>
    <row r="861" ht="22.5" customHeight="1" x14ac:dyDescent="0.25"/>
    <row r="862" ht="22.5" customHeight="1" x14ac:dyDescent="0.25"/>
    <row r="863" ht="22.5" customHeight="1" x14ac:dyDescent="0.25"/>
    <row r="864" ht="22.5" customHeight="1" x14ac:dyDescent="0.25"/>
    <row r="865" ht="22.5" customHeight="1" x14ac:dyDescent="0.25"/>
    <row r="866" ht="22.5" customHeight="1" x14ac:dyDescent="0.25"/>
    <row r="867" ht="22.5" customHeight="1" x14ac:dyDescent="0.25"/>
    <row r="868" ht="22.5" customHeight="1" x14ac:dyDescent="0.25"/>
    <row r="869" ht="22.5" customHeight="1" x14ac:dyDescent="0.25"/>
    <row r="870" ht="22.5" customHeight="1" x14ac:dyDescent="0.25"/>
    <row r="871" ht="22.5" customHeight="1" x14ac:dyDescent="0.25"/>
    <row r="872" ht="22.5" customHeight="1" x14ac:dyDescent="0.25"/>
    <row r="873" ht="22.5" customHeight="1" x14ac:dyDescent="0.25"/>
    <row r="874" ht="22.5" customHeight="1" x14ac:dyDescent="0.25"/>
    <row r="875" ht="22.5" customHeight="1" x14ac:dyDescent="0.25"/>
    <row r="876" ht="22.5" customHeight="1" x14ac:dyDescent="0.25"/>
    <row r="877" ht="22.5" customHeight="1" x14ac:dyDescent="0.25"/>
    <row r="878" ht="22.5" customHeight="1" x14ac:dyDescent="0.25"/>
    <row r="879" ht="22.5" customHeight="1" x14ac:dyDescent="0.25"/>
    <row r="880" ht="22.5" customHeight="1" x14ac:dyDescent="0.25"/>
    <row r="881" ht="22.5" customHeight="1" x14ac:dyDescent="0.25"/>
    <row r="882" ht="22.5" customHeight="1" x14ac:dyDescent="0.25"/>
    <row r="883" ht="22.5" customHeight="1" x14ac:dyDescent="0.25"/>
    <row r="884" ht="22.5" customHeight="1" x14ac:dyDescent="0.25"/>
    <row r="885" ht="22.5" customHeight="1" x14ac:dyDescent="0.25"/>
    <row r="886" ht="22.5" customHeight="1" x14ac:dyDescent="0.25"/>
    <row r="887" ht="22.5" customHeight="1" x14ac:dyDescent="0.25"/>
    <row r="888" ht="22.5" customHeight="1" x14ac:dyDescent="0.25"/>
    <row r="889" ht="22.5" customHeight="1" x14ac:dyDescent="0.25"/>
    <row r="890" ht="22.5" customHeight="1" x14ac:dyDescent="0.25"/>
    <row r="891" ht="22.5" customHeight="1" x14ac:dyDescent="0.25"/>
    <row r="892" ht="22.5" customHeight="1" x14ac:dyDescent="0.25"/>
    <row r="893" ht="22.5" customHeight="1" x14ac:dyDescent="0.25"/>
    <row r="894" ht="22.5" customHeight="1" x14ac:dyDescent="0.25"/>
    <row r="895" ht="22.5" customHeight="1" x14ac:dyDescent="0.25"/>
    <row r="896" ht="22.5" customHeight="1" x14ac:dyDescent="0.25"/>
    <row r="897" ht="22.5" customHeight="1" x14ac:dyDescent="0.25"/>
    <row r="898" ht="22.5" customHeight="1" x14ac:dyDescent="0.25"/>
    <row r="899" ht="22.5" customHeight="1" x14ac:dyDescent="0.25"/>
    <row r="900" ht="22.5" customHeight="1" x14ac:dyDescent="0.25"/>
    <row r="901" ht="22.5" customHeight="1" x14ac:dyDescent="0.25"/>
    <row r="902" ht="22.5" customHeight="1" x14ac:dyDescent="0.25"/>
    <row r="903" ht="22.5" customHeight="1" x14ac:dyDescent="0.25"/>
    <row r="904" ht="22.5" customHeight="1" x14ac:dyDescent="0.25"/>
    <row r="905" ht="22.5" customHeight="1" x14ac:dyDescent="0.25"/>
    <row r="906" ht="22.5" customHeight="1" x14ac:dyDescent="0.25"/>
    <row r="907" ht="22.5" customHeight="1" x14ac:dyDescent="0.25"/>
    <row r="908" ht="22.5" customHeight="1" x14ac:dyDescent="0.25"/>
    <row r="909" ht="22.5" customHeight="1" x14ac:dyDescent="0.25"/>
    <row r="910" ht="22.5" customHeight="1" x14ac:dyDescent="0.25"/>
    <row r="911" ht="22.5" customHeight="1" x14ac:dyDescent="0.25"/>
    <row r="912" ht="22.5" customHeight="1" x14ac:dyDescent="0.25"/>
    <row r="913" ht="22.5" customHeight="1" x14ac:dyDescent="0.25"/>
    <row r="914" ht="22.5" customHeight="1" x14ac:dyDescent="0.25"/>
    <row r="915" ht="22.5" customHeight="1" x14ac:dyDescent="0.25"/>
    <row r="916" ht="22.5" customHeight="1" x14ac:dyDescent="0.25"/>
    <row r="917" ht="22.5" customHeight="1" x14ac:dyDescent="0.25"/>
    <row r="918" ht="22.5" customHeight="1" x14ac:dyDescent="0.25"/>
    <row r="919" ht="22.5" customHeight="1" x14ac:dyDescent="0.25"/>
    <row r="920" ht="22.5" customHeight="1" x14ac:dyDescent="0.25"/>
    <row r="921" ht="22.5" customHeight="1" x14ac:dyDescent="0.25"/>
    <row r="922" ht="22.5" customHeight="1" x14ac:dyDescent="0.25"/>
    <row r="923" ht="22.5" customHeight="1" x14ac:dyDescent="0.25"/>
    <row r="924" ht="22.5" customHeight="1" x14ac:dyDescent="0.25"/>
    <row r="925" ht="22.5" customHeight="1" x14ac:dyDescent="0.25"/>
    <row r="926" ht="22.5" customHeight="1" x14ac:dyDescent="0.25"/>
    <row r="927" ht="22.5" customHeight="1" x14ac:dyDescent="0.25"/>
    <row r="928" ht="22.5" customHeight="1" x14ac:dyDescent="0.25"/>
    <row r="929" ht="22.5" customHeight="1" x14ac:dyDescent="0.25"/>
    <row r="930" ht="22.5" customHeight="1" x14ac:dyDescent="0.25"/>
    <row r="931" ht="22.5" customHeight="1" x14ac:dyDescent="0.25"/>
    <row r="932" ht="22.5" customHeight="1" x14ac:dyDescent="0.25"/>
    <row r="933" ht="22.5" customHeight="1" x14ac:dyDescent="0.25"/>
    <row r="934" ht="22.5" customHeight="1" x14ac:dyDescent="0.25"/>
    <row r="935" ht="22.5" customHeight="1" x14ac:dyDescent="0.25"/>
    <row r="936" ht="22.5" customHeight="1" x14ac:dyDescent="0.25"/>
    <row r="937" ht="22.5" customHeight="1" x14ac:dyDescent="0.25"/>
    <row r="938" ht="22.5" customHeight="1" x14ac:dyDescent="0.25"/>
    <row r="939" ht="22.5" customHeight="1" x14ac:dyDescent="0.25"/>
    <row r="940" ht="22.5" customHeight="1" x14ac:dyDescent="0.25"/>
    <row r="941" ht="22.5" customHeight="1" x14ac:dyDescent="0.25"/>
    <row r="942" ht="22.5" customHeight="1" x14ac:dyDescent="0.25"/>
    <row r="943" ht="22.5" customHeight="1" x14ac:dyDescent="0.25"/>
    <row r="944" ht="22.5" customHeight="1" x14ac:dyDescent="0.25"/>
    <row r="945" ht="22.5" customHeight="1" x14ac:dyDescent="0.25"/>
    <row r="946" ht="22.5" customHeight="1" x14ac:dyDescent="0.25"/>
    <row r="947" ht="22.5" customHeight="1" x14ac:dyDescent="0.25"/>
    <row r="948" ht="22.5" customHeight="1" x14ac:dyDescent="0.25"/>
    <row r="949" ht="22.5" customHeight="1" x14ac:dyDescent="0.25"/>
    <row r="950" ht="22.5" customHeight="1" x14ac:dyDescent="0.25"/>
    <row r="951" ht="22.5" customHeight="1" x14ac:dyDescent="0.25"/>
    <row r="952" ht="22.5" customHeight="1" x14ac:dyDescent="0.25"/>
    <row r="953" ht="22.5" customHeight="1" x14ac:dyDescent="0.25"/>
    <row r="954" ht="22.5" customHeight="1" x14ac:dyDescent="0.25"/>
    <row r="955" ht="22.5" customHeight="1" x14ac:dyDescent="0.25"/>
    <row r="956" ht="22.5" customHeight="1" x14ac:dyDescent="0.25"/>
    <row r="957" ht="22.5" customHeight="1" x14ac:dyDescent="0.25"/>
    <row r="958" ht="22.5" customHeight="1" x14ac:dyDescent="0.25"/>
    <row r="959" ht="22.5" customHeight="1" x14ac:dyDescent="0.25"/>
    <row r="960" ht="22.5" customHeight="1" x14ac:dyDescent="0.25"/>
    <row r="961" ht="22.5" customHeight="1" x14ac:dyDescent="0.25"/>
    <row r="962" ht="22.5" customHeight="1" x14ac:dyDescent="0.25"/>
    <row r="963" ht="22.5" customHeight="1" x14ac:dyDescent="0.25"/>
    <row r="964" ht="22.5" customHeight="1" x14ac:dyDescent="0.25"/>
    <row r="965" ht="22.5" customHeight="1" x14ac:dyDescent="0.25"/>
    <row r="966" ht="22.5" customHeight="1" x14ac:dyDescent="0.25"/>
    <row r="967" ht="22.5" customHeight="1" x14ac:dyDescent="0.25"/>
    <row r="968" ht="22.5" customHeight="1" x14ac:dyDescent="0.25"/>
    <row r="969" ht="22.5" customHeight="1" x14ac:dyDescent="0.25"/>
    <row r="970" ht="22.5" customHeight="1" x14ac:dyDescent="0.25"/>
    <row r="971" ht="22.5" customHeight="1" x14ac:dyDescent="0.25"/>
    <row r="972" ht="22.5" customHeight="1" x14ac:dyDescent="0.25"/>
    <row r="973" ht="22.5" customHeight="1" x14ac:dyDescent="0.25"/>
    <row r="974" ht="22.5" customHeight="1" x14ac:dyDescent="0.25"/>
    <row r="975" ht="22.5" customHeight="1" x14ac:dyDescent="0.25"/>
    <row r="976" ht="22.5" customHeight="1" x14ac:dyDescent="0.25"/>
    <row r="977" ht="22.5" customHeight="1" x14ac:dyDescent="0.25"/>
    <row r="978" ht="22.5" customHeight="1" x14ac:dyDescent="0.25"/>
    <row r="979" ht="22.5" customHeight="1" x14ac:dyDescent="0.25"/>
    <row r="980" ht="22.5" customHeight="1" x14ac:dyDescent="0.25"/>
    <row r="981" ht="22.5" customHeight="1" x14ac:dyDescent="0.25"/>
    <row r="982" ht="22.5" customHeight="1" x14ac:dyDescent="0.25"/>
    <row r="983" ht="22.5" customHeight="1" x14ac:dyDescent="0.25"/>
    <row r="984" ht="22.5" customHeight="1" x14ac:dyDescent="0.25"/>
    <row r="985" ht="22.5" customHeight="1" x14ac:dyDescent="0.25"/>
    <row r="986" ht="22.5" customHeight="1" x14ac:dyDescent="0.25"/>
    <row r="987" ht="22.5" customHeight="1" x14ac:dyDescent="0.25"/>
    <row r="988" ht="22.5" customHeight="1" x14ac:dyDescent="0.25"/>
    <row r="989" ht="22.5" customHeight="1" x14ac:dyDescent="0.25"/>
    <row r="990" ht="22.5" customHeight="1" x14ac:dyDescent="0.25"/>
    <row r="991" ht="22.5" customHeight="1" x14ac:dyDescent="0.25"/>
    <row r="992" ht="22.5" customHeight="1" x14ac:dyDescent="0.25"/>
    <row r="993" ht="22.5" customHeight="1" x14ac:dyDescent="0.25"/>
    <row r="994" ht="22.5" customHeight="1" x14ac:dyDescent="0.25"/>
    <row r="995" ht="22.5" customHeight="1" x14ac:dyDescent="0.25"/>
    <row r="996" ht="22.5" customHeight="1" x14ac:dyDescent="0.25"/>
    <row r="997" ht="22.5" customHeight="1" x14ac:dyDescent="0.25"/>
    <row r="998" ht="22.5" customHeight="1" x14ac:dyDescent="0.25"/>
    <row r="999" ht="22.5" customHeight="1" x14ac:dyDescent="0.25"/>
    <row r="1000" ht="22.5" customHeight="1" x14ac:dyDescent="0.25"/>
  </sheetData>
  <dataValidations count="1">
    <dataValidation type="list" allowBlank="1" sqref="G2:G19" xr:uid="{00000000-0002-0000-0000-000000000000}">
      <formula1>"PASSED,FAILED"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workbookViewId="0">
      <selection activeCell="C2" sqref="C2"/>
    </sheetView>
  </sheetViews>
  <sheetFormatPr defaultColWidth="12.6640625" defaultRowHeight="15" customHeight="1" x14ac:dyDescent="0.25"/>
  <cols>
    <col min="1" max="1" width="11.33203125" customWidth="1"/>
    <col min="2" max="2" width="88.88671875" customWidth="1"/>
    <col min="3" max="3" width="15" bestFit="1" customWidth="1"/>
    <col min="4" max="4" width="18.88671875" customWidth="1"/>
    <col min="5" max="6" width="15.109375" customWidth="1"/>
    <col min="7" max="7" width="25.109375" customWidth="1"/>
  </cols>
  <sheetData>
    <row r="1" spans="1:26" ht="22.5" customHeight="1" x14ac:dyDescent="0.3">
      <c r="A1" s="4" t="s">
        <v>107</v>
      </c>
      <c r="B1" s="4" t="s">
        <v>108</v>
      </c>
      <c r="C1" s="4" t="s">
        <v>109</v>
      </c>
      <c r="D1" s="5"/>
    </row>
    <row r="2" spans="1:26" ht="22.5" customHeight="1" x14ac:dyDescent="0.3">
      <c r="A2" s="2" t="s">
        <v>7</v>
      </c>
      <c r="B2" s="2" t="s">
        <v>8</v>
      </c>
      <c r="C2" s="2" t="s">
        <v>110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2.5" customHeight="1" x14ac:dyDescent="0.3">
      <c r="A3" s="2" t="s">
        <v>14</v>
      </c>
      <c r="B3" s="2" t="s">
        <v>15</v>
      </c>
      <c r="C3" s="2" t="s">
        <v>110</v>
      </c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2.5" customHeight="1" x14ac:dyDescent="0.3">
      <c r="A4" s="2" t="s">
        <v>20</v>
      </c>
      <c r="B4" s="2" t="s">
        <v>21</v>
      </c>
      <c r="C4" s="2" t="s">
        <v>110</v>
      </c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2.5" customHeight="1" x14ac:dyDescent="0.3">
      <c r="A5" s="2" t="s">
        <v>25</v>
      </c>
      <c r="B5" s="2" t="s">
        <v>26</v>
      </c>
      <c r="C5" s="2" t="s">
        <v>110</v>
      </c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2.5" customHeight="1" x14ac:dyDescent="0.3">
      <c r="A6" s="2" t="s">
        <v>30</v>
      </c>
      <c r="B6" s="2" t="s">
        <v>31</v>
      </c>
      <c r="C6" s="2" t="s">
        <v>110</v>
      </c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2.5" customHeight="1" x14ac:dyDescent="0.3">
      <c r="A7" s="2" t="s">
        <v>36</v>
      </c>
      <c r="B7" s="2" t="s">
        <v>37</v>
      </c>
      <c r="C7" s="2" t="s">
        <v>110</v>
      </c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2.5" customHeight="1" x14ac:dyDescent="0.3">
      <c r="A8" s="2" t="s">
        <v>41</v>
      </c>
      <c r="B8" s="2" t="s">
        <v>42</v>
      </c>
      <c r="C8" s="2" t="s">
        <v>110</v>
      </c>
      <c r="D8" s="5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2.5" customHeight="1" x14ac:dyDescent="0.3">
      <c r="A9" s="2" t="s">
        <v>46</v>
      </c>
      <c r="B9" s="2" t="s">
        <v>47</v>
      </c>
      <c r="C9" s="2" t="s">
        <v>110</v>
      </c>
      <c r="D9" s="5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2.5" customHeight="1" x14ac:dyDescent="0.3">
      <c r="A10" s="2" t="s">
        <v>52</v>
      </c>
      <c r="B10" s="2" t="s">
        <v>53</v>
      </c>
      <c r="C10" s="2" t="s">
        <v>110</v>
      </c>
      <c r="D10" s="5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2.5" customHeight="1" x14ac:dyDescent="0.3">
      <c r="A11" s="2" t="s">
        <v>56</v>
      </c>
      <c r="B11" s="2" t="s">
        <v>57</v>
      </c>
      <c r="C11" s="2" t="s">
        <v>110</v>
      </c>
      <c r="D11" s="5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2.5" customHeight="1" x14ac:dyDescent="0.3">
      <c r="A12" s="2" t="s">
        <v>62</v>
      </c>
      <c r="B12" s="2" t="s">
        <v>63</v>
      </c>
      <c r="C12" s="2" t="s">
        <v>110</v>
      </c>
      <c r="D12" s="5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2.5" customHeight="1" x14ac:dyDescent="0.3">
      <c r="A13" s="2" t="s">
        <v>69</v>
      </c>
      <c r="B13" s="2" t="s">
        <v>70</v>
      </c>
      <c r="C13" s="2" t="s">
        <v>110</v>
      </c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2.5" customHeight="1" x14ac:dyDescent="0.3">
      <c r="A14" s="2" t="s">
        <v>75</v>
      </c>
      <c r="B14" s="2" t="s">
        <v>76</v>
      </c>
      <c r="C14" s="2" t="s">
        <v>110</v>
      </c>
      <c r="D14" s="5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2.5" customHeight="1" x14ac:dyDescent="0.3">
      <c r="A15" s="2" t="s">
        <v>81</v>
      </c>
      <c r="B15" s="2" t="s">
        <v>82</v>
      </c>
      <c r="C15" s="2" t="s">
        <v>110</v>
      </c>
      <c r="D15" s="5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2.5" customHeight="1" x14ac:dyDescent="0.3">
      <c r="A16" s="2" t="s">
        <v>87</v>
      </c>
      <c r="B16" s="2" t="s">
        <v>88</v>
      </c>
      <c r="C16" s="2" t="s">
        <v>110</v>
      </c>
      <c r="D16" s="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22.5" customHeight="1" x14ac:dyDescent="0.3">
      <c r="A17" s="2" t="s">
        <v>92</v>
      </c>
      <c r="B17" s="2" t="s">
        <v>93</v>
      </c>
      <c r="C17" s="2" t="s">
        <v>110</v>
      </c>
      <c r="D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2.5" customHeight="1" x14ac:dyDescent="0.3">
      <c r="A18" s="2" t="s">
        <v>97</v>
      </c>
      <c r="B18" s="2" t="s">
        <v>98</v>
      </c>
      <c r="C18" s="2" t="s">
        <v>110</v>
      </c>
      <c r="D18" s="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22.5" customHeight="1" x14ac:dyDescent="0.3">
      <c r="A19" s="2" t="s">
        <v>102</v>
      </c>
      <c r="B19" s="2" t="s">
        <v>103</v>
      </c>
      <c r="C19" s="2" t="s">
        <v>110</v>
      </c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2.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22.5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22.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22.5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22.5" customHeight="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22.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22.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2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22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2.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2.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2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2.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22.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22.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22.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2.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2.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2.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2.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2.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2.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22.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2.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22.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2.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22.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22.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22.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2.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22.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22.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22.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2.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2.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22.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22.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22.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22.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22.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22.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22.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22.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2.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22.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2.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22.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22.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22.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22.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22.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22.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22.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22.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2.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2.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22.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22.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22.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22.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22.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2.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22.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22.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22.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22.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22.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22.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22.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22.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2.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2.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22.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22.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22.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22.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22.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22.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22.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22.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22.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22.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22.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22.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22.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22.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22.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22.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22.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22.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22.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22.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22.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22.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22.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22.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22.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22.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22.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22.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22.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22.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22.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22.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22.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22.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22.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22.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22.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22.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22.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22.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22.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22.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22.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22.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22.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22.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22.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22.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22.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22.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22.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22.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22.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22.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22.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22.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22.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22.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22.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22.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22.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22.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22.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22.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22.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22.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22.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22.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22.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22.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22.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22.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22.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22.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22.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22.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22.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22.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22.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22.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22.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22.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22.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22.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22.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22.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22.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22.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22.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22.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22.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22.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22.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22.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22.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22.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22.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22.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22.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22.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22.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22.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22.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22.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22.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22.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22.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22.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22.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22.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22.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22.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22.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22.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22.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22.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22.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22.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22.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22.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22.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22.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22.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22.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22.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22.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22.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22.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22.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22.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22.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22.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22.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22.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22.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22.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22.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22.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22.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22.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22.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22.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22.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22.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22.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22.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22.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22.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22.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22.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22.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22.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22.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22.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22.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22.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22.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22.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22.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22.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22.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22.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22.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22.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22.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22.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22.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22.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22.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22.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22.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22.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22.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22.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22.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22.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22.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22.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22.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22.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22.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22.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22.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22.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22.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22.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22.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22.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22.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22.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22.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22.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22.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22.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22.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22.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22.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22.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22.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22.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22.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22.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22.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22.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22.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22.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22.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22.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22.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22.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22.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22.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22.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22.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22.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22.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22.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22.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22.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22.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22.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22.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22.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22.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22.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22.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22.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22.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22.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22.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22.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22.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22.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22.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22.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22.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22.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22.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22.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22.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22.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22.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22.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22.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22.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22.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22.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22.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22.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22.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22.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22.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22.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22.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22.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22.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22.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22.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22.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22.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22.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22.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22.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22.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22.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22.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22.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22.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22.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22.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22.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22.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22.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22.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22.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22.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22.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22.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22.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22.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22.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22.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22.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22.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22.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22.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22.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22.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22.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22.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22.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22.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22.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22.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22.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22.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22.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22.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22.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22.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22.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22.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22.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22.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22.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22.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22.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22.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22.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22.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22.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22.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22.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22.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22.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22.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22.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22.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22.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22.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22.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22.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22.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22.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22.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22.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22.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22.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22.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22.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22.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22.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22.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22.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22.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22.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22.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22.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22.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22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22.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22.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22.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22.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22.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22.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22.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22.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22.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22.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22.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22.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22.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22.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22.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22.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22.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22.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22.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22.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22.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22.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22.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22.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22.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22.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22.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22.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22.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22.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22.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22.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22.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22.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22.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22.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22.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22.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22.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22.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22.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22.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22.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22.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22.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22.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22.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22.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22.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22.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22.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22.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22.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22.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22.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22.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22.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22.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22.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22.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22.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22.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22.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22.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22.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22.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22.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22.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22.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22.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22.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22.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22.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22.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22.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22.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22.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22.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22.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22.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22.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22.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22.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22.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22.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22.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22.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22.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22.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22.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22.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22.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22.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22.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22.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22.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22.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22.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22.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22.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22.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22.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22.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22.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22.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22.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22.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22.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22.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22.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22.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22.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22.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22.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22.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22.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22.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22.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22.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22.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22.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22.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22.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22.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22.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22.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22.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22.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22.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22.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22.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22.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22.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22.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22.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22.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22.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22.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22.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22.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22.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22.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22.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22.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22.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22.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22.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22.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22.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22.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22.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22.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22.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22.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22.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22.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22.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22.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22.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22.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22.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22.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22.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22.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22.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22.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22.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22.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22.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22.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22.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22.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22.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22.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22.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22.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22.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22.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22.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22.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22.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22.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22.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22.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22.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22.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22.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22.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22.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22.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22.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22.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22.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22.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22.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22.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22.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22.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22.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22.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22.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22.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22.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22.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22.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22.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22.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22.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22.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22.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22.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22.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22.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22.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22.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22.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22.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22.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22.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22.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22.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22.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22.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22.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22.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22.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22.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22.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22.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22.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22.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22.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22.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22.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22.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22.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22.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22.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22.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22.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22.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22.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22.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22.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22.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22.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22.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22.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22.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22.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22.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22.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22.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22.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22.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22.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22.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22.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22.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22.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22.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22.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22.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22.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22.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22.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22.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22.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22.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22.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22.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22.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22.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22.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22.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22.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22.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22.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22.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22.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22.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22.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22.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22.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22.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22.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22.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22.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22.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22.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22.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22.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22.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22.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22.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22.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22.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22.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22.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22.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22.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22.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22.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22.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22.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22.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22.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22.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22.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22.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22.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22.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22.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22.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22.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22.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22.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22.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22.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22.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22.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22.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22.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22.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22.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22.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22.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22.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22.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22.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22.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22.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22.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22.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22.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22.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22.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22.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22.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22.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22.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22.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22.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22.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22.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22.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22.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22.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22.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22.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22.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22.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22.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22.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22.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22.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22.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22.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22.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22.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22.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22.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22.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22.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22.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22.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22.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22.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22.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22.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22.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22.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22.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22.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22.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22.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22.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22.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22.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22.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22.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22.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22.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22.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22.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22.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22.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22.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22.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22.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22.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22.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22.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22.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22.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22.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22.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22.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22.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22.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22.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22.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22.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22.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22.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22.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22.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22.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22.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22.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22.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22.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22.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22.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22.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22.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22.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22.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22.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22.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22.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22.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22.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22.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22.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22.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22.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22.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22.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22.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22.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22.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22.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22.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22.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22.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22.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22.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22.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22.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22.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22.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22.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22.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22.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22.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22.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22.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22.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22.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22.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22.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22.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22.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22.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22.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22.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22.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22.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22.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22.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22.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22.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22.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22.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22.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22.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22.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22.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22.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22.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22.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22.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22.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22.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22.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22.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22.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22.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22.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22.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22.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22.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22.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22.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22.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22.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22.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22.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22.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22.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22.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22.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22.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22.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22.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22.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22.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22.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22.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22.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22.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22.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22.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22.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22.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22.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22.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22.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22.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22.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22.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22.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22.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22.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22.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22.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22.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22.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22.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22.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22.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22.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22.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22.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22.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22.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22.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22.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22.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22.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22.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22.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22.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22.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22.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22.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22.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22.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22.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22.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22.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22.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22.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22.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22.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22.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22.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22.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22.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22.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22.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22.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22.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22.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22.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22.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22.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22.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22.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22.5" customHeight="1" x14ac:dyDescent="0.25"/>
    <row r="993" ht="22.5" customHeight="1" x14ac:dyDescent="0.25"/>
    <row r="994" ht="22.5" customHeight="1" x14ac:dyDescent="0.25"/>
    <row r="995" ht="22.5" customHeight="1" x14ac:dyDescent="0.25"/>
    <row r="996" ht="22.5" customHeight="1" x14ac:dyDescent="0.25"/>
    <row r="997" ht="22.5" customHeight="1" x14ac:dyDescent="0.25"/>
    <row r="998" ht="22.5" customHeight="1" x14ac:dyDescent="0.25"/>
    <row r="999" ht="22.5" customHeight="1" x14ac:dyDescent="0.25"/>
    <row r="1000" ht="22.5" customHeight="1" x14ac:dyDescent="0.25"/>
  </sheetData>
  <dataValidations count="1">
    <dataValidation type="list" allowBlank="1" sqref="C2:C19" xr:uid="{00000000-0002-0000-0100-000000000000}">
      <formula1>"Đã test,Chưa test"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7"/>
  <sheetViews>
    <sheetView workbookViewId="0">
      <selection activeCell="K7" sqref="K7"/>
    </sheetView>
  </sheetViews>
  <sheetFormatPr defaultColWidth="12.6640625" defaultRowHeight="15" customHeight="1" x14ac:dyDescent="0.25"/>
  <cols>
    <col min="3" max="3" width="82.6640625" customWidth="1"/>
    <col min="11" max="11" width="11.88671875" bestFit="1" customWidth="1"/>
  </cols>
  <sheetData>
    <row r="1" spans="1:26" ht="15" customHeight="1" x14ac:dyDescent="0.3">
      <c r="A1" s="30" t="s">
        <v>111</v>
      </c>
      <c r="B1" s="31"/>
      <c r="C1" s="31"/>
      <c r="D1" s="31"/>
      <c r="E1" s="31"/>
      <c r="F1" s="31"/>
      <c r="G1" s="31"/>
      <c r="H1" s="31"/>
      <c r="I1" s="31"/>
      <c r="J1" s="31"/>
      <c r="K1" s="32"/>
    </row>
    <row r="2" spans="1:26" ht="15" customHeight="1" x14ac:dyDescent="0.3">
      <c r="A2" s="33" t="s">
        <v>112</v>
      </c>
      <c r="B2" s="25"/>
      <c r="C2" s="26" t="s">
        <v>113</v>
      </c>
      <c r="D2" s="27"/>
      <c r="E2" s="25"/>
      <c r="F2" s="24" t="s">
        <v>114</v>
      </c>
      <c r="G2" s="25"/>
      <c r="H2" s="26" t="s">
        <v>115</v>
      </c>
      <c r="I2" s="27"/>
      <c r="J2" s="27"/>
      <c r="K2" s="25"/>
    </row>
    <row r="3" spans="1:26" ht="15" customHeight="1" x14ac:dyDescent="0.3">
      <c r="A3" s="33" t="s">
        <v>116</v>
      </c>
      <c r="B3" s="25"/>
      <c r="C3" s="26" t="s">
        <v>117</v>
      </c>
      <c r="D3" s="27"/>
      <c r="E3" s="25"/>
      <c r="F3" s="24"/>
      <c r="G3" s="25"/>
      <c r="H3" s="26"/>
      <c r="I3" s="27"/>
      <c r="J3" s="27"/>
      <c r="K3" s="25"/>
    </row>
    <row r="4" spans="1:26" ht="15" customHeight="1" x14ac:dyDescent="0.3">
      <c r="A4" s="28" t="s">
        <v>118</v>
      </c>
      <c r="B4" s="25"/>
      <c r="C4" s="29"/>
      <c r="D4" s="27"/>
      <c r="E4" s="27"/>
      <c r="F4" s="27"/>
      <c r="G4" s="27"/>
      <c r="H4" s="27"/>
      <c r="I4" s="27"/>
      <c r="J4" s="27"/>
      <c r="K4" s="25"/>
    </row>
    <row r="5" spans="1:26" ht="15" customHeight="1" x14ac:dyDescent="0.35">
      <c r="A5" s="5"/>
      <c r="B5" s="7" t="s">
        <v>119</v>
      </c>
      <c r="C5" s="8">
        <f>K27</f>
        <v>1</v>
      </c>
      <c r="D5" s="5"/>
      <c r="E5" s="5"/>
      <c r="F5" s="5"/>
      <c r="G5" s="5"/>
      <c r="H5" s="5"/>
      <c r="I5" s="5"/>
      <c r="J5" s="5"/>
      <c r="K5" s="5"/>
    </row>
    <row r="6" spans="1:26" ht="15" customHeight="1" x14ac:dyDescent="0.35">
      <c r="A6" s="5"/>
      <c r="B6" s="9" t="s">
        <v>120</v>
      </c>
      <c r="C6" s="8">
        <f>IF(J27=0, 0, E27/J27)</f>
        <v>0.88888888888888884</v>
      </c>
      <c r="D6" s="5"/>
      <c r="E6" s="5"/>
      <c r="F6" s="5"/>
      <c r="G6" s="5"/>
      <c r="H6" s="5"/>
      <c r="I6" s="5"/>
      <c r="J6" s="10" t="s">
        <v>121</v>
      </c>
      <c r="K6" s="11">
        <v>46209</v>
      </c>
    </row>
    <row r="7" spans="1:26" ht="15" customHeight="1" x14ac:dyDescent="0.3">
      <c r="A7" s="5"/>
      <c r="B7" s="12"/>
      <c r="C7" s="5"/>
      <c r="D7" s="5"/>
      <c r="E7" s="5"/>
      <c r="F7" s="5"/>
      <c r="G7" s="5"/>
      <c r="H7" s="5"/>
      <c r="I7" s="5"/>
      <c r="J7" s="5"/>
      <c r="K7" s="5"/>
    </row>
    <row r="8" spans="1:26" ht="31.2" x14ac:dyDescent="0.25">
      <c r="A8" s="13" t="s">
        <v>122</v>
      </c>
      <c r="B8" s="13" t="s">
        <v>123</v>
      </c>
      <c r="C8" s="13" t="s">
        <v>124</v>
      </c>
      <c r="D8" s="13" t="s">
        <v>125</v>
      </c>
      <c r="E8" s="13" t="s">
        <v>126</v>
      </c>
      <c r="F8" s="13" t="s">
        <v>127</v>
      </c>
      <c r="G8" s="13" t="s">
        <v>128</v>
      </c>
      <c r="H8" s="13" t="s">
        <v>129</v>
      </c>
      <c r="I8" s="13" t="s">
        <v>130</v>
      </c>
      <c r="J8" s="13" t="s">
        <v>131</v>
      </c>
      <c r="K8" s="13" t="s">
        <v>132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14">
        <f t="array" ref="A9:A26">IF(B9:B26="","", ROW(B9:B26)-8)</f>
        <v>1</v>
      </c>
      <c r="B9" s="14" t="str">
        <f t="array" ref="B9:C26">IF('Test cases'!A2:A19="","", 'Test cases'!A2:B19)</f>
        <v>TC-01</v>
      </c>
      <c r="C9" s="14" t="str">
        <v>Kiểm tra chức năng khởi động quạt.</v>
      </c>
      <c r="D9" s="14">
        <f t="array" ref="D9:D26">IF(B9:B26="","", E9:E26 + F9:F26 + G9:G26 + H9:H26)</f>
        <v>1</v>
      </c>
      <c r="E9" s="14">
        <f t="array" ref="E9:E26">IF(B9:B26="","", IF(IFERROR(VLOOKUP(B9:B26, 'Test cases'!$A$2:$G$19, 7, FALSE),"")="PASSED", 1, 0))</f>
        <v>1</v>
      </c>
      <c r="F9" s="14">
        <f t="array" ref="F9:F26">IF(B9:B26="","", IF(IFERROR(VLOOKUP(B9:B26, 'Test cases'!$A$2:$G$19, 7, FALSE),"")="FAILED", 1, 0))</f>
        <v>0</v>
      </c>
      <c r="G9" s="14">
        <f t="array" ref="G9:G26">IF(B9:B26="","", IF(IFERROR(VLOOKUP(B9:B26, 'Test cases'!$A$2:$G$19, 7, FALSE),"")="BLOCKED", 1, 0))</f>
        <v>0</v>
      </c>
      <c r="H9" s="14">
        <f t="array" ref="H9:H26">IF(B9:B26="","", IF(IFERROR(VLOOKUP(B9:B26, 'Test cases'!$A$2:$G$19, 7, FALSE),"")="SKIPPED", 1, 0))</f>
        <v>0</v>
      </c>
      <c r="I9" s="14">
        <f t="array" ref="I9:I26">IF(B9:B26="","", IF(D9:D26=0, 1, 0))</f>
        <v>0</v>
      </c>
      <c r="J9" s="15">
        <f t="array" ref="J9:J26">IF(B9:B26="","", 1)</f>
        <v>1</v>
      </c>
      <c r="K9" s="16">
        <f t="array" ref="K9:K26">IF(B9:B26="","", D9:D26 / J9:J26)</f>
        <v>1</v>
      </c>
    </row>
    <row r="10" spans="1:26" x14ac:dyDescent="0.25">
      <c r="A10" s="17">
        <v>2</v>
      </c>
      <c r="B10" s="17" t="str">
        <v>TC-02</v>
      </c>
      <c r="C10" s="17" t="str">
        <v>Kiểm tra chức năng tắt quạt.</v>
      </c>
      <c r="D10" s="17">
        <v>1</v>
      </c>
      <c r="E10" s="17">
        <v>1</v>
      </c>
      <c r="F10" s="17">
        <v>0</v>
      </c>
      <c r="G10" s="17">
        <v>0</v>
      </c>
      <c r="H10" s="17">
        <v>0</v>
      </c>
      <c r="I10" s="17">
        <v>0</v>
      </c>
      <c r="J10" s="15">
        <v>1</v>
      </c>
      <c r="K10" s="18">
        <v>1</v>
      </c>
    </row>
    <row r="11" spans="1:26" x14ac:dyDescent="0.25">
      <c r="A11" s="14">
        <v>3</v>
      </c>
      <c r="B11" s="14" t="str">
        <v>TC-03</v>
      </c>
      <c r="C11" s="14" t="str">
        <v>Kiểm tra chức năng tăng mức gió (Mức trung bình).</v>
      </c>
      <c r="D11" s="14">
        <v>1</v>
      </c>
      <c r="E11" s="14">
        <v>1</v>
      </c>
      <c r="F11" s="14">
        <v>0</v>
      </c>
      <c r="G11" s="14">
        <v>0</v>
      </c>
      <c r="H11" s="14">
        <v>0</v>
      </c>
      <c r="I11" s="14">
        <v>0</v>
      </c>
      <c r="J11" s="15">
        <v>1</v>
      </c>
      <c r="K11" s="16">
        <v>1</v>
      </c>
    </row>
    <row r="12" spans="1:26" x14ac:dyDescent="0.25">
      <c r="A12" s="19">
        <v>4</v>
      </c>
      <c r="B12" s="19" t="str">
        <v>TC-04</v>
      </c>
      <c r="C12" s="19" t="str">
        <v>Kiểm tra chức năng tăng mức gió (Mức cao nhất).</v>
      </c>
      <c r="D12" s="19">
        <v>1</v>
      </c>
      <c r="E12" s="19">
        <v>1</v>
      </c>
      <c r="F12" s="19">
        <v>0</v>
      </c>
      <c r="G12" s="19">
        <v>0</v>
      </c>
      <c r="H12" s="19">
        <v>0</v>
      </c>
      <c r="I12" s="19">
        <v>0</v>
      </c>
      <c r="J12" s="19">
        <v>1</v>
      </c>
      <c r="K12" s="20">
        <v>1</v>
      </c>
    </row>
    <row r="13" spans="1:26" x14ac:dyDescent="0.25">
      <c r="A13" s="17">
        <v>5</v>
      </c>
      <c r="B13" s="17" t="str">
        <v>TC-05</v>
      </c>
      <c r="C13" s="17" t="str">
        <v>Kiểm tra chuyển đổi mức gió từ Cao về Thấp.</v>
      </c>
      <c r="D13" s="17">
        <v>1</v>
      </c>
      <c r="E13" s="17">
        <v>1</v>
      </c>
      <c r="F13" s="17">
        <v>0</v>
      </c>
      <c r="G13" s="17">
        <v>0</v>
      </c>
      <c r="H13" s="17">
        <v>0</v>
      </c>
      <c r="I13" s="17">
        <v>0</v>
      </c>
      <c r="J13" s="19">
        <v>1</v>
      </c>
      <c r="K13" s="18">
        <v>1</v>
      </c>
    </row>
    <row r="14" spans="1:26" x14ac:dyDescent="0.25">
      <c r="A14" s="17">
        <v>6</v>
      </c>
      <c r="B14" s="17" t="str">
        <v>TC-06</v>
      </c>
      <c r="C14" s="17" t="str">
        <v>Kiểm tra chức năng xoay ngang (Tuốc năng).</v>
      </c>
      <c r="D14" s="17">
        <v>1</v>
      </c>
      <c r="E14" s="17">
        <v>1</v>
      </c>
      <c r="F14" s="17">
        <v>0</v>
      </c>
      <c r="G14" s="17">
        <v>0</v>
      </c>
      <c r="H14" s="17">
        <v>0</v>
      </c>
      <c r="I14" s="17">
        <v>0</v>
      </c>
      <c r="J14" s="19">
        <v>1</v>
      </c>
      <c r="K14" s="18">
        <v>1</v>
      </c>
    </row>
    <row r="15" spans="1:26" x14ac:dyDescent="0.25">
      <c r="A15" s="17">
        <v>7</v>
      </c>
      <c r="B15" s="17" t="str">
        <v>TC-07</v>
      </c>
      <c r="C15" s="17" t="str">
        <v>Kiểm tra chức năng dừng xoay ngang.</v>
      </c>
      <c r="D15" s="17">
        <v>1</v>
      </c>
      <c r="E15" s="17">
        <v>1</v>
      </c>
      <c r="F15" s="17">
        <v>0</v>
      </c>
      <c r="G15" s="17">
        <v>0</v>
      </c>
      <c r="H15" s="17">
        <v>0</v>
      </c>
      <c r="I15" s="17">
        <v>0</v>
      </c>
      <c r="J15" s="19">
        <v>1</v>
      </c>
      <c r="K15" s="18">
        <v>1</v>
      </c>
    </row>
    <row r="16" spans="1:26" x14ac:dyDescent="0.25">
      <c r="A16" s="17">
        <v>8</v>
      </c>
      <c r="B16" s="17" t="str">
        <v>TC-08</v>
      </c>
      <c r="C16" s="17" t="str">
        <v>Kiểm tra chức năng hẹn giờ tắt (Mức thời gian tối thiểu).</v>
      </c>
      <c r="D16" s="17">
        <v>1</v>
      </c>
      <c r="E16" s="17">
        <v>1</v>
      </c>
      <c r="F16" s="17">
        <v>0</v>
      </c>
      <c r="G16" s="17">
        <v>0</v>
      </c>
      <c r="H16" s="17">
        <v>0</v>
      </c>
      <c r="I16" s="17">
        <v>0</v>
      </c>
      <c r="J16" s="19">
        <v>1</v>
      </c>
      <c r="K16" s="18">
        <v>1</v>
      </c>
    </row>
    <row r="17" spans="1:11" x14ac:dyDescent="0.25">
      <c r="A17" s="17">
        <v>9</v>
      </c>
      <c r="B17" s="17" t="str">
        <v>TC-09</v>
      </c>
      <c r="C17" s="17" t="str">
        <v>Kiểm tra chức năng hẹn giờ tắt (Mức thời gian tối đa).</v>
      </c>
      <c r="D17" s="17">
        <v>1</v>
      </c>
      <c r="E17" s="17">
        <v>1</v>
      </c>
      <c r="F17" s="17">
        <v>0</v>
      </c>
      <c r="G17" s="17">
        <v>0</v>
      </c>
      <c r="H17" s="17">
        <v>0</v>
      </c>
      <c r="I17" s="17">
        <v>0</v>
      </c>
      <c r="J17" s="19">
        <v>1</v>
      </c>
      <c r="K17" s="18">
        <v>1</v>
      </c>
    </row>
    <row r="18" spans="1:11" x14ac:dyDescent="0.25">
      <c r="A18" s="17">
        <v>10</v>
      </c>
      <c r="B18" s="17" t="str">
        <v>TC-10</v>
      </c>
      <c r="C18" s="17" t="str">
        <v>Kiểm tra hủy chức năng hẹn giờ.</v>
      </c>
      <c r="D18" s="17">
        <v>1</v>
      </c>
      <c r="E18" s="17">
        <v>1</v>
      </c>
      <c r="F18" s="17">
        <v>0</v>
      </c>
      <c r="G18" s="17">
        <v>0</v>
      </c>
      <c r="H18" s="17">
        <v>0</v>
      </c>
      <c r="I18" s="17">
        <v>0</v>
      </c>
      <c r="J18" s="19">
        <v>1</v>
      </c>
      <c r="K18" s="18">
        <v>1</v>
      </c>
    </row>
    <row r="19" spans="1:11" x14ac:dyDescent="0.25">
      <c r="A19" s="17">
        <v>11</v>
      </c>
      <c r="B19" s="17" t="str">
        <v>TC-11</v>
      </c>
      <c r="C19" s="17" t="str">
        <v>Kiểm tra thay đổi độ cao của thân quạt.</v>
      </c>
      <c r="D19" s="17">
        <v>1</v>
      </c>
      <c r="E19" s="17">
        <v>0</v>
      </c>
      <c r="F19" s="17">
        <v>1</v>
      </c>
      <c r="G19" s="17">
        <v>0</v>
      </c>
      <c r="H19" s="17">
        <v>0</v>
      </c>
      <c r="I19" s="17">
        <v>0</v>
      </c>
      <c r="J19" s="19">
        <v>1</v>
      </c>
      <c r="K19" s="18">
        <v>1</v>
      </c>
    </row>
    <row r="20" spans="1:11" x14ac:dyDescent="0.25">
      <c r="A20" s="17">
        <v>12</v>
      </c>
      <c r="B20" s="17" t="str">
        <v>TC-12</v>
      </c>
      <c r="C20" s="17" t="str">
        <v>Kiểm tra điều chỉnh góc gập cổ quạt (Lên/Xuống).</v>
      </c>
      <c r="D20" s="17">
        <v>1</v>
      </c>
      <c r="E20" s="17">
        <v>1</v>
      </c>
      <c r="F20" s="17">
        <v>0</v>
      </c>
      <c r="G20" s="17">
        <v>0</v>
      </c>
      <c r="H20" s="17">
        <v>0</v>
      </c>
      <c r="I20" s="17">
        <v>0</v>
      </c>
      <c r="J20" s="19">
        <v>1</v>
      </c>
      <c r="K20" s="18">
        <v>1</v>
      </c>
    </row>
    <row r="21" spans="1:11" x14ac:dyDescent="0.25">
      <c r="A21" s="17">
        <v>13</v>
      </c>
      <c r="B21" s="17" t="str">
        <v>TC-13</v>
      </c>
      <c r="C21" s="17" t="str">
        <v>Kiểm tra độ rung lắc khi hoạt động ở công suất tối đa.</v>
      </c>
      <c r="D21" s="17">
        <v>1</v>
      </c>
      <c r="E21" s="17">
        <v>1</v>
      </c>
      <c r="F21" s="17">
        <v>0</v>
      </c>
      <c r="G21" s="17">
        <v>0</v>
      </c>
      <c r="H21" s="17">
        <v>0</v>
      </c>
      <c r="I21" s="17">
        <v>0</v>
      </c>
      <c r="J21" s="19">
        <v>1</v>
      </c>
      <c r="K21" s="18">
        <v>1</v>
      </c>
    </row>
    <row r="22" spans="1:11" x14ac:dyDescent="0.25">
      <c r="A22" s="17">
        <v>14</v>
      </c>
      <c r="B22" s="17" t="str">
        <v>TC-14</v>
      </c>
      <c r="C22" s="17" t="str">
        <v>Kiểm tra khả năng chịu tải liên tục (Endurance Test).</v>
      </c>
      <c r="D22" s="17">
        <v>1</v>
      </c>
      <c r="E22" s="17">
        <v>1</v>
      </c>
      <c r="F22" s="17">
        <v>0</v>
      </c>
      <c r="G22" s="17">
        <v>0</v>
      </c>
      <c r="H22" s="17">
        <v>0</v>
      </c>
      <c r="I22" s="17">
        <v>0</v>
      </c>
      <c r="J22" s="19">
        <v>1</v>
      </c>
      <c r="K22" s="18">
        <v>1</v>
      </c>
    </row>
    <row r="23" spans="1:11" x14ac:dyDescent="0.25">
      <c r="A23" s="17">
        <v>15</v>
      </c>
      <c r="B23" s="17" t="str">
        <v>TC-15</v>
      </c>
      <c r="C23" s="17" t="str">
        <v>Kiểm tra hành vi khi mất điện đột ngột.</v>
      </c>
      <c r="D23" s="17">
        <v>1</v>
      </c>
      <c r="E23" s="17">
        <v>1</v>
      </c>
      <c r="F23" s="17">
        <v>0</v>
      </c>
      <c r="G23" s="17">
        <v>0</v>
      </c>
      <c r="H23" s="17">
        <v>0</v>
      </c>
      <c r="I23" s="17">
        <v>0</v>
      </c>
      <c r="J23" s="19">
        <v>1</v>
      </c>
      <c r="K23" s="18">
        <v>1</v>
      </c>
    </row>
    <row r="24" spans="1:11" x14ac:dyDescent="0.25">
      <c r="A24" s="17">
        <v>16</v>
      </c>
      <c r="B24" s="17" t="str">
        <v>TC-16</v>
      </c>
      <c r="C24" s="17" t="str">
        <v>Kiểm tra vết đứt hoặc hở tại dây điện hoặc phích cắm bị cháy đầu nhận điện sau khoảng thời gian dài sử dụng</v>
      </c>
      <c r="D24" s="17">
        <v>1</v>
      </c>
      <c r="E24" s="17">
        <v>1</v>
      </c>
      <c r="F24" s="17">
        <v>0</v>
      </c>
      <c r="G24" s="17">
        <v>0</v>
      </c>
      <c r="H24" s="17">
        <v>0</v>
      </c>
      <c r="I24" s="17">
        <v>0</v>
      </c>
      <c r="J24" s="19">
        <v>1</v>
      </c>
      <c r="K24" s="18">
        <v>1</v>
      </c>
    </row>
    <row r="25" spans="1:11" x14ac:dyDescent="0.25">
      <c r="A25" s="17">
        <v>17</v>
      </c>
      <c r="B25" s="17" t="str">
        <v>TC-17</v>
      </c>
      <c r="C25" s="17" t="str">
        <v>Kiểm tra quạt hoạt động bình thường khi nhấn 2 mức gió cùng lúc.</v>
      </c>
      <c r="D25" s="17">
        <v>1</v>
      </c>
      <c r="E25" s="17">
        <v>0</v>
      </c>
      <c r="F25" s="17">
        <v>1</v>
      </c>
      <c r="G25" s="17">
        <v>0</v>
      </c>
      <c r="H25" s="17">
        <v>0</v>
      </c>
      <c r="I25" s="17">
        <v>0</v>
      </c>
      <c r="J25" s="19">
        <v>1</v>
      </c>
      <c r="K25" s="18">
        <v>1</v>
      </c>
    </row>
    <row r="26" spans="1:11" x14ac:dyDescent="0.25">
      <c r="A26" s="17">
        <v>18</v>
      </c>
      <c r="B26" s="17" t="str">
        <v>TC-18</v>
      </c>
      <c r="C26" s="17" t="str">
        <v>Kiểm tra trục giữ cánh quạt bị cứng sau một thời gian dài sử dungj</v>
      </c>
      <c r="D26" s="17">
        <v>1</v>
      </c>
      <c r="E26" s="17">
        <v>1</v>
      </c>
      <c r="F26" s="17">
        <v>0</v>
      </c>
      <c r="G26" s="17">
        <v>0</v>
      </c>
      <c r="H26" s="17">
        <v>0</v>
      </c>
      <c r="I26" s="17">
        <v>0</v>
      </c>
      <c r="J26" s="19">
        <v>1</v>
      </c>
      <c r="K26" s="18">
        <v>1</v>
      </c>
    </row>
    <row r="27" spans="1:11" ht="15" customHeight="1" x14ac:dyDescent="0.3">
      <c r="A27" s="21"/>
      <c r="B27" s="21"/>
      <c r="C27" s="22" t="s">
        <v>131</v>
      </c>
      <c r="D27" s="22">
        <f t="shared" ref="D27:J27" si="0">SUM(D9:D26)</f>
        <v>18</v>
      </c>
      <c r="E27" s="22">
        <f t="shared" si="0"/>
        <v>16</v>
      </c>
      <c r="F27" s="22">
        <f t="shared" si="0"/>
        <v>2</v>
      </c>
      <c r="G27" s="22">
        <f t="shared" si="0"/>
        <v>0</v>
      </c>
      <c r="H27" s="22">
        <f t="shared" si="0"/>
        <v>0</v>
      </c>
      <c r="I27" s="22">
        <f t="shared" si="0"/>
        <v>0</v>
      </c>
      <c r="J27" s="22">
        <f t="shared" si="0"/>
        <v>18</v>
      </c>
      <c r="K27" s="23">
        <f>IF(J27=0, 0, D27/J27)</f>
        <v>1</v>
      </c>
    </row>
  </sheetData>
  <mergeCells count="11">
    <mergeCell ref="F3:G3"/>
    <mergeCell ref="H3:K3"/>
    <mergeCell ref="A4:B4"/>
    <mergeCell ref="C4:K4"/>
    <mergeCell ref="A1:K1"/>
    <mergeCell ref="A2:B2"/>
    <mergeCell ref="C2:E2"/>
    <mergeCell ref="F2:G2"/>
    <mergeCell ref="H2:K2"/>
    <mergeCell ref="A3:B3"/>
    <mergeCell ref="C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Checklists</vt:lpstr>
      <vt:lpstr>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MINH QUANG</cp:lastModifiedBy>
  <dcterms:modified xsi:type="dcterms:W3CDTF">2026-06-07T13:21:45Z</dcterms:modified>
</cp:coreProperties>
</file>